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eb11906e9741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验总览" sheetId="1" r:id="Recb47885337c4c78"/>
    <x:sheet xmlns:r="http://schemas.openxmlformats.org/officeDocument/2006/relationships" name="单组明细" sheetId="2" r:id="Rab9a733648934811"/>
    <x:sheet xmlns:r="http://schemas.openxmlformats.org/officeDocument/2006/relationships" name="Token与成本" sheetId="3" r:id="Re951c60cf2b746c1"/>
    <x:sheet xmlns:r="http://schemas.openxmlformats.org/officeDocument/2006/relationships" name="方法与流程" sheetId="4" r:id="Rf93f6c098fb44dac"/>
    <x:sheet xmlns:r="http://schemas.openxmlformats.org/officeDocument/2006/relationships" name="条件提示词" sheetId="5" r:id="Rc768ee19f7764604"/>
    <x:sheet xmlns:r="http://schemas.openxmlformats.org/officeDocument/2006/relationships" name="披露证据" sheetId="6" r:id="R08755c53a8f74763"/>
    <x:sheet xmlns:r="http://schemas.openxmlformats.org/officeDocument/2006/relationships" name="字段映射" sheetId="7" r:id="R061452c4184e49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00"/>
    <x:numFmt numFmtId="201" formatCode="#,##0"/>
    <x:numFmt numFmtId="202" formatCode="0.0%"/>
    <x:numFmt numFmtId="203" formatCode="0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5364A"/>
      <x:name val="Carlito"/>
    </x:font>
    <x:font>
      <x:b/>
      <x:sz val="10"/>
      <x:color rgb="FF25364A"/>
      <x:name val="Carlito"/>
    </x:font>
    <x:font>
      <x:sz val="10"/>
      <x:color rgb="FF25364A"/>
      <x:name val="Carlito"/>
    </x:font>
    <x:font>
      <x:b/>
      <x:sz val="12"/>
      <x:color rgb="FFFFFFFF"/>
      <x:name val="Carlito"/>
    </x:font>
    <x:font>
      <x:sz val="9"/>
      <x:color rgb="FF25364A"/>
      <x:name val="Carlito"/>
    </x:font>
    <x:font>
      <x:b/>
      <x:sz val="10"/>
      <x:color rgb="FF2F75B5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3F66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BFE3F3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8CCE4"/>
      </x:left>
      <x:right style="thin">
        <x:color rgb="FFB8CCE4"/>
      </x:right>
      <x:top style="thin">
        <x:color rgb="FFB8CCE4"/>
      </x:top>
      <x:bottom style="thin">
        <x:color rgb="FFB8CCE4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1" xfId="0" applyNumberFormat="1" applyFont="1" applyFill="1" applyBorder="1"/>
    <x:xf numFmtId="0" fontId="4" fillId="0" borderId="1" xfId="0" applyNumberFormat="1" applyFont="1" applyFill="1" applyBorder="1"/>
    <x:xf numFmtId="0" fontId="3" fillId="3" borderId="1" xfId="0" applyNumberFormat="1" applyFont="1" applyFill="1" applyBorder="1" applyAlignment="1">
      <x:alignment vertical="top"/>
    </x:xf>
    <x:xf numFmtId="0" fontId="4" fillId="0" borderId="1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vertical="top"/>
    </x:xf>
    <x:xf numFmtId="200" fontId="4" fillId="0" borderId="1" xfId="0" applyNumberFormat="1" applyFont="1" applyFill="1" applyBorder="1" applyAlignment="1">
      <x:alignment vertical="top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top"/>
    </x:xf>
    <x:xf numFmtId="201" fontId="4" fillId="7" borderId="1" xfId="0" applyNumberFormat="1" applyFont="1" applyFill="1" applyBorder="1" applyAlignment="1">
      <x:alignment vertical="top"/>
    </x:xf>
    <x:xf numFmtId="201" fontId="4" fillId="0" borderId="1" xfId="0" applyNumberFormat="1" applyFont="1" applyFill="1" applyBorder="1" applyAlignment="1">
      <x:alignment vertical="top"/>
    </x:xf>
    <x:xf numFmtId="202" fontId="4" fillId="7" borderId="1" xfId="0" applyNumberFormat="1" applyFont="1" applyFill="1" applyBorder="1" applyAlignment="1">
      <x:alignment vertical="top"/>
    </x:xf>
    <x:xf numFmtId="202" fontId="4" fillId="0" borderId="1" xfId="0" applyNumberFormat="1" applyFont="1" applyFill="1" applyBorder="1" applyAlignment="1">
      <x:alignment vertical="top"/>
    </x:xf>
    <x:xf numFmtId="200" fontId="4" fillId="7" borderId="1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8" borderId="1" xfId="0" applyNumberFormat="1" applyFont="1" applyFill="1" applyBorder="1" applyAlignment="1">
      <x:alignment vertical="top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4" fillId="7" borderId="1" xfId="0" applyNumberFormat="1" applyFont="1" applyFill="1" applyBorder="1" applyAlignment="1">
      <x:alignment vertical="center"/>
    </x:xf>
    <x:xf numFmtId="201" fontId="4" fillId="7" borderId="1" xfId="0" applyNumberFormat="1" applyFont="1" applyFill="1" applyBorder="1" applyAlignment="1">
      <x:alignment vertical="center"/>
    </x:xf>
    <x:xf numFmtId="202" fontId="4" fillId="7" borderId="1" xfId="0" applyNumberFormat="1" applyFont="1" applyFill="1" applyBorder="1" applyAlignment="1">
      <x:alignment vertical="center"/>
    </x:xf>
    <x:xf numFmtId="200" fontId="4" fillId="7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8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 wrapText="1"/>
    </x:xf>
    <x:xf numFmtId="201" fontId="4" fillId="4" borderId="1" xfId="0" applyNumberFormat="1" applyFont="1" applyFill="1" applyBorder="1" applyAlignment="1">
      <x:alignment vertical="top"/>
    </x:xf>
    <x:xf numFmtId="203" fontId="4" fillId="7" borderId="1" xfId="0" applyNumberFormat="1" applyFont="1" applyFill="1" applyBorder="1" applyAlignment="1">
      <x:alignment vertical="top"/>
    </x:xf>
    <x:xf numFmtId="203" fontId="4" fillId="0" borderId="1" xfId="0" applyNumberFormat="1" applyFont="1" applyFill="1" applyBorder="1" applyAlignment="1">
      <x:alignment vertical="top"/>
    </x:xf>
    <x:xf numFmtId="0" fontId="4" fillId="7" borderId="1" xfId="0" applyNumberFormat="1" applyFont="1" applyFill="1" applyBorder="1" applyAlignment="1">
      <x:alignment vertical="top" wrapText="1"/>
    </x:xf>
    <x:xf numFmtId="201" fontId="4" fillId="7" borderId="1" xfId="0" applyNumberFormat="1" applyFont="1" applyFill="1" applyBorder="1" applyAlignment="1">
      <x:alignment vertical="top" wrapText="1"/>
    </x:xf>
    <x:xf numFmtId="201" fontId="4" fillId="4" borderId="1" xfId="0" applyNumberFormat="1" applyFont="1" applyFill="1" applyBorder="1" applyAlignment="1">
      <x:alignment vertical="top" wrapText="1"/>
    </x:xf>
    <x:xf numFmtId="200" fontId="4" fillId="7" borderId="1" xfId="0" applyNumberFormat="1" applyFont="1" applyFill="1" applyBorder="1" applyAlignment="1">
      <x:alignment vertical="top" wrapText="1"/>
    </x:xf>
    <x:xf numFmtId="203" fontId="4" fillId="7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3" fontId="4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2" fontId="4" fillId="7" borderId="1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vertical="top"/>
    </x:xf>
    <x:xf numFmtId="0" fontId="7" fillId="0" borderId="1" xfId="0" applyNumberFormat="1" applyFont="1" applyFill="1" applyBorder="1" applyAlignment="1">
      <x:alignment vertical="top"/>
    </x:xf>
    <x:xf numFmtId="0" fontId="7" fillId="7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f5e2c036f04b22" /><Relationship Type="http://schemas.openxmlformats.org/officeDocument/2006/relationships/theme" Target="/xl/theme/theme1.xml" Id="R143ca1a884a241b9" /><Relationship Type="http://schemas.microsoft.com/office/2022/11/relationships/FeaturePropertyBag" Target="/xl/featurePropertyBag/featurePropertyBag.xml" Id="R491ab43015ee4f30" /><Relationship Type="http://schemas.openxmlformats.org/officeDocument/2006/relationships/sharedStrings" Target="/xl/sharedStrings.xml" Id="R78026e5dad1a4569" /><Relationship Type="http://schemas.openxmlformats.org/officeDocument/2006/relationships/worksheet" Target="/xl/worksheets/sheet1.xml" Id="Recb47885337c4c78" /><Relationship Type="http://schemas.openxmlformats.org/officeDocument/2006/relationships/worksheet" Target="/xl/worksheets/sheet2.xml" Id="Rab9a733648934811" /><Relationship Type="http://schemas.openxmlformats.org/officeDocument/2006/relationships/worksheet" Target="/xl/worksheets/sheet3.xml" Id="Re951c60cf2b746c1" /><Relationship Type="http://schemas.openxmlformats.org/officeDocument/2006/relationships/worksheet" Target="/xl/worksheets/sheet4.xml" Id="Rf93f6c098fb44dac" /><Relationship Type="http://schemas.openxmlformats.org/officeDocument/2006/relationships/worksheet" Target="/xl/worksheets/sheet5.xml" Id="Rc768ee19f7764604" /><Relationship Type="http://schemas.openxmlformats.org/officeDocument/2006/relationships/worksheet" Target="/xl/worksheets/sheet6.xml" Id="R08755c53a8f74763" /><Relationship Type="http://schemas.openxmlformats.org/officeDocument/2006/relationships/worksheet" Target="/xl/worksheets/sheet7.xml" Id="R061452c4184e49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3" t="str">
        <x:v>Vista task1 · 三条件 × 三重复本机 OpenCode 实验审计</x:v>
      </x:c>
      <x:c r="B1" s="36"/>
      <x:c r="C1" s="36"/>
      <x:c r="D1" s="36"/>
      <x:c r="E1" s="36"/>
      <x:c r="F1" s="36"/>
      <x:c r="G1" s="36"/>
      <x:c r="H1" s="36"/>
    </x:row>
    <x:row r="2">
      <x:c r="A2" s="36"/>
      <x:c r="B2" s="36"/>
      <x:c r="C2" s="36"/>
      <x:c r="D2" s="36"/>
      <x:c r="E2" s="36"/>
      <x:c r="F2" s="36"/>
      <x:c r="G2" s="36"/>
      <x:c r="H2" s="36"/>
    </x:row>
    <x:row r="3">
      <x:c r="A3" s="37" t="str">
        <x:v>正式批次</x:v>
      </x:c>
      <x:c r="B3" s="38" t="str">
        <x:v>formal-task001-local-3x3-minimaxm3-20260822-04</x:v>
      </x:c>
      <x:c r="C3" s="36"/>
      <x:c r="D3" s="36"/>
      <x:c r="E3" s="36"/>
      <x:c r="F3" s="36"/>
      <x:c r="G3" s="36"/>
      <x:c r="H3" s="36"/>
    </x:row>
    <x:row r="4">
      <x:c r="A4" s="37" t="str">
        <x:v>任务</x:v>
      </x:c>
      <x:c r="B4" s="38" t="str">
        <x:v>task-001 · Python → Scala 翻译</x:v>
      </x:c>
      <x:c r="C4" s="36"/>
      <x:c r="D4" s="36"/>
      <x:c r="E4" s="36"/>
      <x:c r="F4" s="36"/>
      <x:c r="G4" s="36"/>
      <x:c r="H4" s="36"/>
    </x:row>
    <x:row r="5">
      <x:c r="A5" s="37" t="str">
        <x:v>审计状态</x:v>
      </x:c>
      <x:c r="B5" s="38" t="str">
        <x:v>通过</x:v>
      </x:c>
      <x:c r="C5" s="36"/>
      <x:c r="D5" s="36"/>
      <x:c r="E5" s="36"/>
      <x:c r="F5" s="36"/>
      <x:c r="G5" s="36"/>
      <x:c r="H5" s="36"/>
    </x:row>
    <x:row r="6">
      <x:c r="A6" s="37" t="str">
        <x:v>完成试验</x:v>
      </x:c>
      <x:c r="B6" s="38" t="n">
        <x:v>9</x:v>
      </x:c>
      <x:c r="C6" s="36"/>
      <x:c r="D6" s="36"/>
      <x:c r="E6" s="36"/>
      <x:c r="F6" s="36"/>
      <x:c r="G6" s="36"/>
      <x:c r="H6" s="36"/>
    </x:row>
    <x:row r="7">
      <x:c r="A7" s="37" t="str">
        <x:v>独立会话</x:v>
      </x:c>
      <x:c r="B7" s="38" t="n">
        <x:v>9</x:v>
      </x:c>
      <x:c r="C7" s="36"/>
      <x:c r="D7" s="36"/>
      <x:c r="E7" s="36"/>
      <x:c r="F7" s="36"/>
      <x:c r="G7" s="36"/>
      <x:c r="H7" s="36"/>
    </x:row>
    <x:row r="8">
      <x:c r="A8" s="37" t="str">
        <x:v>最终验收</x:v>
      </x:c>
      <x:c r="B8" s="39" t="str">
        <x:v>9/9 通过；每组最终均为 10/10 单元测试</x:v>
      </x:c>
      <x:c r="C8" s="36"/>
      <x:c r="D8" s="36"/>
      <x:c r="E8" s="36"/>
      <x:c r="F8" s="36"/>
      <x:c r="G8" s="36"/>
      <x:c r="H8" s="36"/>
    </x:row>
    <x:row r="9">
      <x:c r="A9" s="37" t="str">
        <x:v>实际提供商 / 模型</x:v>
      </x:c>
      <x:c r="B9" s="38" t="str">
        <x:v>minimax-cn / MiniMax-M3</x:v>
      </x:c>
      <x:c r="C9" s="36"/>
      <x:c r="D9" s="36"/>
      <x:c r="E9" s="36"/>
      <x:c r="F9" s="36"/>
      <x:c r="G9" s="36"/>
      <x:c r="H9" s="36"/>
    </x:row>
    <x:row r="10">
      <x:c r="A10" s="37" t="str">
        <x:v>OpenCode 记录费用</x:v>
      </x:c>
      <x:c r="B10" s="40" t="n">
        <x:v>1.61958642</x:v>
      </x:c>
      <x:c r="C10" s="36"/>
      <x:c r="D10" s="36"/>
      <x:c r="E10" s="36"/>
      <x:c r="F10" s="36"/>
      <x:c r="G10" s="36"/>
      <x:c r="H10" s="36"/>
    </x:row>
    <x:row r="11">
      <x:c r="A11" s="36"/>
      <x:c r="B11" s="36"/>
      <x:c r="C11" s="36"/>
      <x:c r="D11" s="36"/>
      <x:c r="E11" s="36"/>
      <x:c r="F11" s="36"/>
      <x:c r="G11" s="36"/>
      <x:c r="H11" s="36"/>
    </x:row>
    <x:row r="12">
      <x:c r="A12" s="41" t="str">
        <x:v>三种条件结果总览</x:v>
      </x:c>
      <x:c r="B12" s="36"/>
      <x:c r="C12" s="36"/>
      <x:c r="D12" s="36"/>
      <x:c r="E12" s="36"/>
      <x:c r="F12" s="36"/>
      <x:c r="G12" s="36"/>
      <x:c r="H12" s="36"/>
    </x:row>
    <x:row r="13">
      <x:c r="A13" s="20" t="str">
        <x:v>条件</x:v>
      </x:c>
      <x:c r="B13" s="20" t="str">
        <x:v>试验数</x:v>
      </x:c>
      <x:c r="C13" s="20" t="str">
        <x:v>通过数</x:v>
      </x:c>
      <x:c r="D13" s="20" t="str">
        <x:v>通过率</x:v>
      </x:c>
      <x:c r="E13" s="20" t="str">
        <x:v>总轮次</x:v>
      </x:c>
      <x:c r="F13" s="20" t="str">
        <x:v>输入+输出 Token</x:v>
      </x:c>
      <x:c r="G13" s="20" t="str">
        <x:v>缓存读取 Token</x:v>
      </x:c>
      <x:c r="H13" s="20" t="str">
        <x:v>记录费用</x:v>
      </x:c>
    </x:row>
    <x:row r="14">
      <x:c r="A14" s="42" t="str">
        <x:v>No-Skill</x:v>
      </x:c>
      <x:c r="B14" s="43" t="n">
        <x:f>'Token与成本'!B4</x:f>
        <x:v>3</x:v>
      </x:c>
      <x:c r="C14" s="43" t="n">
        <x:f>'Token与成本'!C4</x:f>
        <x:v>3</x:v>
      </x:c>
      <x:c r="D14" s="44" t="n">
        <x:f>'Token与成本'!D4</x:f>
        <x:v>1</x:v>
      </x:c>
      <x:c r="E14" s="43" t="n">
        <x:f>'Token与成本'!E4</x:f>
        <x:v>12</x:v>
      </x:c>
      <x:c r="F14" s="43" t="n">
        <x:f>'Token与成本'!F4</x:f>
        <x:v>359324</x:v>
      </x:c>
      <x:c r="G14" s="43" t="n">
        <x:f>'Token与成本'!G4</x:f>
        <x:v>2586113</x:v>
      </x:c>
      <x:c r="H14" s="45" t="n">
        <x:f>'Token与成本'!J4</x:f>
        <x:v>0.44130707999999996</x:v>
      </x:c>
    </x:row>
    <x:row r="15">
      <x:c r="A15" s="38" t="str">
        <x:v>Native</x:v>
      </x:c>
      <x:c r="B15" s="46" t="n">
        <x:f>'Token与成本'!B5</x:f>
        <x:v>3</x:v>
      </x:c>
      <x:c r="C15" s="46" t="n">
        <x:f>'Token与成本'!C5</x:f>
        <x:v>3</x:v>
      </x:c>
      <x:c r="D15" s="47" t="n">
        <x:f>'Token与成本'!D5</x:f>
        <x:v>1</x:v>
      </x:c>
      <x:c r="E15" s="46" t="n">
        <x:f>'Token与成本'!E5</x:f>
        <x:v>10</x:v>
      </x:c>
      <x:c r="F15" s="46" t="n">
        <x:f>'Token与成本'!F5</x:f>
        <x:v>558356</x:v>
      </x:c>
      <x:c r="G15" s="46" t="n">
        <x:f>'Token与成本'!G5</x:f>
        <x:v>7920566</x:v>
      </x:c>
      <x:c r="H15" s="40" t="n">
        <x:f>'Token与成本'!J5</x:f>
        <x:v>0.76601466</x:v>
      </x:c>
    </x:row>
    <x:row r="16">
      <x:c r="A16" s="42" t="str">
        <x:v>PD-VISTA</x:v>
      </x:c>
      <x:c r="B16" s="43" t="n">
        <x:f>'Token与成本'!B6</x:f>
        <x:v>3</x:v>
      </x:c>
      <x:c r="C16" s="43" t="n">
        <x:f>'Token与成本'!C6</x:f>
        <x:v>3</x:v>
      </x:c>
      <x:c r="D16" s="44" t="n">
        <x:f>'Token与成本'!D6</x:f>
        <x:v>1</x:v>
      </x:c>
      <x:c r="E16" s="43" t="n">
        <x:f>'Token与成本'!E6</x:f>
        <x:v>11</x:v>
      </x:c>
      <x:c r="F16" s="43" t="n">
        <x:f>'Token与成本'!F6</x:f>
        <x:v>279316</x:v>
      </x:c>
      <x:c r="G16" s="43" t="n">
        <x:f>'Token与成本'!G6</x:f>
        <x:v>3706973</x:v>
      </x:c>
      <x:c r="H16" s="45" t="n">
        <x:f>'Token与成本'!J6</x:f>
        <x:v>0.41226468000000005</x:v>
      </x:c>
    </x:row>
    <x:row r="17">
      <x:c r="A17" s="36"/>
      <x:c r="B17" s="36"/>
      <x:c r="C17" s="36"/>
      <x:c r="D17" s="36"/>
      <x:c r="E17" s="36"/>
      <x:c r="F17" s="36"/>
      <x:c r="G17" s="36"/>
      <x:c r="H17" s="36"/>
    </x:row>
    <x:row r="18">
      <x:c r="A18" s="36"/>
      <x:c r="B18" s="36"/>
      <x:c r="C18" s="36"/>
      <x:c r="D18" s="36"/>
      <x:c r="E18" s="36"/>
      <x:c r="F18" s="36"/>
      <x:c r="G18" s="36"/>
      <x:c r="H18" s="36"/>
    </x:row>
    <x:row r="19">
      <x:c r="A19" s="41" t="str">
        <x:v>关键完整性检查</x:v>
      </x:c>
      <x:c r="B19" s="36"/>
      <x:c r="C19" s="36"/>
      <x:c r="D19" s="36"/>
      <x:c r="E19" s="36"/>
      <x:c r="F19" s="36"/>
      <x:c r="G19" s="36"/>
      <x:c r="H19" s="36"/>
    </x:row>
    <x:row r="20">
      <x:c r="A20" s="20" t="str">
        <x:v>检查项</x:v>
      </x:c>
      <x:c r="B20" s="20" t="str">
        <x:v>结果</x:v>
      </x:c>
      <x:c r="C20" s="36"/>
      <x:c r="D20" s="36"/>
      <x:c r="E20" s="36"/>
      <x:c r="F20" s="36"/>
      <x:c r="G20" s="36"/>
      <x:c r="H20" s="36"/>
    </x:row>
    <x:row r="21">
      <x:c r="A21" s="38" t="str">
        <x:v>9 个最终 Verifier 全部通过</x:v>
      </x:c>
      <x:c r="B21" s="48" t="b">
        <x:v>1</x:v>
      </x:c>
      <x:c r="C21" s="36"/>
      <x:c r="D21" s="36"/>
      <x:c r="E21" s="36"/>
      <x:c r="F21" s="36"/>
      <x:c r="G21" s="36"/>
      <x:c r="H21" s="36"/>
    </x:row>
    <x:row r="22">
      <x:c r="A22" s="38" t="str">
        <x:v>每个最终 Verifier 均通过 10/10 测试</x:v>
      </x:c>
      <x:c r="B22" s="48" t="b">
        <x:v>1</x:v>
      </x:c>
      <x:c r="C22" s="36"/>
      <x:c r="D22" s="36"/>
      <x:c r="E22" s="36"/>
      <x:c r="F22" s="36"/>
      <x:c r="G22" s="36"/>
      <x:c r="H22" s="36"/>
    </x:row>
    <x:row r="23">
      <x:c r="A23" s="38" t="str">
        <x:v>独立会话数等于试验数</x:v>
      </x:c>
      <x:c r="B23" s="48" t="b">
        <x:v>1</x:v>
      </x:c>
      <x:c r="C23" s="36"/>
      <x:c r="D23" s="36"/>
      <x:c r="E23" s="36"/>
      <x:c r="F23" s="36"/>
      <x:c r="G23" s="36"/>
      <x:c r="H23" s="36"/>
    </x:row>
    <x:row r="24">
      <x:c r="A24" s="38" t="str">
        <x:v>实际模型在 9 组中一致</x:v>
      </x:c>
      <x:c r="B24" s="48" t="b">
        <x:v>1</x:v>
      </x:c>
      <x:c r="C24" s="36"/>
      <x:c r="D24" s="36"/>
      <x:c r="E24" s="36"/>
      <x:c r="F24" s="36"/>
      <x:c r="G24" s="36"/>
      <x:c r="H24" s="36"/>
    </x:row>
    <x:row r="25">
      <x:c r="A25" s="38" t="str">
        <x:v>使用 Docker</x:v>
      </x:c>
      <x:c r="B25" s="48" t="b">
        <x:v>0</x:v>
      </x:c>
      <x:c r="C25" s="36"/>
      <x:c r="D25" s="36"/>
      <x:c r="E25" s="36"/>
      <x:c r="F25" s="36"/>
      <x:c r="G25" s="36"/>
      <x:c r="H25" s="36"/>
    </x:row>
    <x:row r="26">
      <x:c r="A26" s="38" t="str">
        <x:v>使用 SkillBench 标准执行路线</x:v>
      </x:c>
      <x:c r="B26" s="48" t="b">
        <x:v>0</x:v>
      </x:c>
      <x:c r="C26" s="36"/>
      <x:c r="D26" s="36"/>
      <x:c r="E26" s="36"/>
      <x:c r="F26" s="36"/>
      <x:c r="G26" s="36"/>
      <x:c r="H26" s="36"/>
    </x:row>
    <x:row r="27">
      <x:c r="A27" s="38" t="str">
        <x:v>PD-VISTA 干净闭环数</x:v>
      </x:c>
      <x:c r="B27" s="49" t="n">
        <x:v>3</x:v>
      </x:c>
      <x:c r="C27" s="36"/>
      <x:c r="D27" s="36"/>
      <x:c r="E27" s="36"/>
      <x:c r="F27" s="36"/>
      <x:c r="G27" s="36"/>
      <x:c r="H27" s="36"/>
    </x:row>
    <x:row r="28">
      <x:c r="A28" s="38" t="str">
        <x:v>模型轮次收尾超时数</x:v>
      </x:c>
      <x:c r="B28" s="49" t="n">
        <x:v>4</x:v>
      </x:c>
      <x:c r="C28" s="36"/>
      <x:c r="D28" s="36"/>
      <x:c r="E28" s="36"/>
      <x:c r="F28" s="36"/>
      <x:c r="G28" s="36"/>
      <x:c r="H28" s="36"/>
    </x:row>
    <x:row r="29">
      <x:c r="A29" s="38" t="str">
        <x:v>目标相关自动化测试</x:v>
      </x:c>
      <x:c r="B29" s="38" t="str">
        <x:v>18/18 通过</x:v>
      </x:c>
      <x:c r="C29" s="36"/>
      <x:c r="D29" s="36"/>
      <x:c r="E29" s="36"/>
      <x:c r="F29" s="36"/>
      <x:c r="G29" s="36"/>
      <x:c r="H29" s="36"/>
    </x:row>
    <x:row r="30">
      <x:c r="A30" s="36"/>
      <x:c r="B30" s="36"/>
      <x:c r="C30" s="36"/>
      <x:c r="D30" s="36"/>
      <x:c r="E30" s="36"/>
      <x:c r="F30" s="36"/>
      <x:c r="G30" s="36"/>
      <x:c r="H30" s="36"/>
    </x:row>
    <x:row r="31">
      <x:c r="A31" s="36"/>
      <x:c r="B31" s="36"/>
      <x:c r="C31" s="36"/>
      <x:c r="D31" s="36"/>
      <x:c r="E31" s="36"/>
      <x:c r="F31" s="36"/>
      <x:c r="G31" s="36"/>
      <x:c r="H31" s="36"/>
    </x:row>
    <x:row r="32">
      <x:c r="A32" s="41" t="str">
        <x:v>数据来源</x:v>
      </x:c>
      <x:c r="B32" s="36"/>
      <x:c r="C32" s="36"/>
      <x:c r="D32" s="36"/>
      <x:c r="E32" s="36"/>
      <x:c r="F32" s="36"/>
      <x:c r="G32" s="36"/>
      <x:c r="H32" s="36"/>
    </x:row>
    <x:row r="33">
      <x:c r="A33" s="50" t="str">
        <x:v>/Users/wangjinhua/Downloads/vista-travel-macos-handoff-20260819-192318/data/raw/formal-task001-local-3x3-minimaxm3-20260822-04/group-summary.json</x:v>
      </x:c>
      <x:c r="B33" s="50"/>
      <x:c r="C33" s="50"/>
      <x:c r="D33" s="50"/>
      <x:c r="E33" s="50"/>
      <x:c r="F33" s="50"/>
      <x:c r="G33" s="50"/>
      <x:c r="H33" s="50"/>
    </x:row>
    <x:row r="34">
      <x:c r="A34" s="50" t="str">
        <x:v>/Users/wangjinhua/Downloads/vista-travel-macos-handoff-20260819-192318/data/raw/formal-task001-local-3x3-minimaxm3-20260822-04/posthoc-audit.json</x:v>
      </x:c>
      <x:c r="B34" s="50"/>
      <x:c r="C34" s="50"/>
      <x:c r="D34" s="50"/>
      <x:c r="E34" s="50"/>
      <x:c r="F34" s="50"/>
      <x:c r="G34" s="50"/>
      <x:c r="H34" s="50"/>
    </x:row>
    <x:row r="35">
      <x:c r="A35" s="50" t="str">
        <x:v>模型与费用：逐个只读查询隔离 OpenCode opencode.db；最终测试与质量分：各组最终 verifier-turn-N.txt</x:v>
      </x:c>
      <x:c r="B35" s="50"/>
      <x:c r="C35" s="50"/>
      <x:c r="D35" s="50"/>
      <x:c r="E35" s="50"/>
      <x:c r="F35" s="50"/>
      <x:c r="G35" s="50"/>
      <x:c r="H35" s="50"/>
    </x:row>
  </x:sheetData>
  <x:mergeCells>
    <x:mergeCell ref="A1:H1"/>
    <x:mergeCell ref="A12:H12"/>
    <x:mergeCell ref="A19:H19"/>
    <x:mergeCell ref="A32:H32"/>
    <x:mergeCell ref="A33:H33"/>
    <x:mergeCell ref="A34:H34"/>
    <x:mergeCell ref="A35:H3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2" hidden="0" customWidth="1"/>
    <x:col min="3" max="3" width="8" hidden="0" customWidth="1"/>
    <x:col min="4" max="4" width="34" hidden="0" customWidth="1"/>
    <x:col min="5" max="5" width="11" hidden="0" customWidth="1"/>
    <x:col min="6" max="6" width="8" hidden="0" customWidth="1"/>
    <x:col min="7" max="7" width="10" hidden="0" customWidth="1"/>
    <x:col min="8" max="8" width="10" hidden="0" customWidth="1"/>
    <x:col min="9" max="9" width="10" hidden="0" customWidth="1"/>
    <x:col min="10" max="10" width="13" hidden="0" customWidth="1"/>
    <x:col min="11" max="11" width="13" hidden="0" customWidth="1"/>
    <x:col min="12" max="12" width="15" hidden="0" customWidth="1"/>
    <x:col min="13" max="13" width="14" hidden="0" customWidth="1"/>
    <x:col min="14" max="14" width="14" hidden="0" customWidth="1"/>
    <x:col min="15" max="15" width="14" hidden="0" customWidth="1"/>
    <x:col min="16" max="16" width="11" hidden="0" customWidth="1"/>
    <x:col min="17" max="17" width="11" hidden="0" customWidth="1"/>
    <x:col min="18" max="18" width="30" hidden="0" customWidth="1"/>
    <x:col min="19" max="19" width="52" hidden="0" customWidth="1"/>
    <x:col min="20" max="20" width="32" hidden="0" customWidth="1"/>
    <x:col min="21" max="21" width="32" hidden="0" customWidth="1"/>
    <x:col min="22" max="22" width="11" hidden="0" customWidth="1"/>
    <x:col min="23" max="23" width="12" hidden="0" customWidth="1"/>
    <x:col min="24" max="24" width="11" hidden="0" customWidth="1"/>
    <x:col min="25" max="25" width="11" hidden="0" customWidth="1"/>
    <x:col min="26" max="26" width="11" hidden="0" customWidth="1"/>
    <x:col min="27" max="27" width="24" hidden="0" customWidth="1"/>
  </x:cols>
  <x:sheetData>
    <x:row r="1" ht="30" customHeight="1">
      <x:c r="A1" s="3" t="str">
        <x:v>task1 单组审计明细（9 个独立 OpenCode 会话）</x:v>
      </x:c>
    </x:row>
    <x:row r="3">
      <x:c r="A3" s="20" t="str">
        <x:v>试验 ID</x:v>
      </x:c>
      <x:c r="B3" s="20" t="str">
        <x:v>条件</x:v>
      </x:c>
      <x:c r="C3" s="20" t="str">
        <x:v>重复</x:v>
      </x:c>
      <x:c r="D3" s="20" t="str">
        <x:v>状态</x:v>
      </x:c>
      <x:c r="E3" s="20" t="str">
        <x:v>最终通过</x:v>
      </x:c>
      <x:c r="F3" s="20" t="str">
        <x:v>轮次</x:v>
      </x:c>
      <x:c r="G3" s="20" t="str">
        <x:v>模型超时</x:v>
      </x:c>
      <x:c r="H3" s="20" t="str">
        <x:v>请求数</x:v>
      </x:c>
      <x:c r="I3" s="20" t="str">
        <x:v>工具调用</x:v>
      </x:c>
      <x:c r="J3" s="20" t="str">
        <x:v>输入 Token</x:v>
      </x:c>
      <x:c r="K3" s="20" t="str">
        <x:v>输出 Token</x:v>
      </x:c>
      <x:c r="L3" s="20" t="str">
        <x:v>缓存读取</x:v>
      </x:c>
      <x:c r="M3" s="20" t="str">
        <x:v>新鲜 Token</x:v>
      </x:c>
      <x:c r="N3" s="20" t="str">
        <x:v>总 Token</x:v>
      </x:c>
      <x:c r="O3" s="20" t="str">
        <x:v>记录费用</x:v>
      </x:c>
      <x:c r="P3" s="20" t="str">
        <x:v>最终测试</x:v>
      </x:c>
      <x:c r="Q3" s="20" t="str">
        <x:v>质量分 /25</x:v>
      </x:c>
      <x:c r="R3" s="20" t="str">
        <x:v>会话 ID</x:v>
      </x:c>
      <x:c r="S3" s="20" t="str">
        <x:v>初始可见模块</x:v>
      </x:c>
      <x:c r="T3" s="20" t="str">
        <x:v>披露模块</x:v>
      </x:c>
      <x:c r="U3" s="20" t="str">
        <x:v>披露后访问</x:v>
      </x:c>
      <x:c r="V3" s="20" t="str">
        <x:v>触发机会</x:v>
      </x:c>
      <x:c r="W3" s="20" t="str">
        <x:v>可路由反馈</x:v>
      </x:c>
      <x:c r="X3" s="20" t="str">
        <x:v>成功披露</x:v>
      </x:c>
      <x:c r="Y3" s="20" t="str">
        <x:v>后续访问</x:v>
      </x:c>
      <x:c r="Z3" s="20" t="str">
        <x:v>干净闭环</x:v>
      </x:c>
      <x:c r="AA3" s="20" t="str">
        <x:v>请求模型</x:v>
      </x:c>
    </x:row>
    <x:row r="4" ht="56" customHeight="1">
      <x:c r="A4" s="54" t="str">
        <x:v>formal-task001-local-3x3-minimaxm3-20260822-04-noskill-replicate-01</x:v>
      </x:c>
      <x:c r="B4" s="54" t="str">
        <x:v>No-Skill</x:v>
      </x:c>
      <x:c r="C4" s="55" t="n">
        <x:v>1</x:v>
      </x:c>
      <x:c r="D4" s="55" t="str">
        <x:v>passed</x:v>
      </x:c>
      <x:c r="E4" s="56" t="n">
        <x:v>1</x:v>
      </x:c>
      <x:c r="F4" s="55" t="n">
        <x:v>3</x:v>
      </x:c>
      <x:c r="G4" s="55" t="n">
        <x:v>0</x:v>
      </x:c>
      <x:c r="H4" s="55" t="n">
        <x:v>29</x:v>
      </x:c>
      <x:c r="I4" s="55" t="n">
        <x:v>26</x:v>
      </x:c>
      <x:c r="J4" s="55" t="n">
        <x:v>58211</x:v>
      </x:c>
      <x:c r="K4" s="55" t="n">
        <x:v>34892</x:v>
      </x:c>
      <x:c r="L4" s="55" t="n">
        <x:v>986249</x:v>
      </x:c>
      <x:c r="M4" s="55" t="n">
        <x:f>J4+K4</x:f>
        <x:v>93103</x:v>
      </x:c>
      <x:c r="N4" s="55" t="n">
        <x:f>M4+L4</x:f>
        <x:v>1079352</x:v>
      </x:c>
      <x:c r="O4" s="57" t="n">
        <x:v>0.11850864</x:v>
      </x:c>
      <x:c r="P4" s="54" t="str">
        <x:v>10/10</x:v>
      </x:c>
      <x:c r="Q4" s="58" t="n">
        <x:v>23</x:v>
      </x:c>
      <x:c r="R4" s="54" t="str">
        <x:v>ses_fd79e5f9dffe3ys413BeU2k7dD</x:v>
      </x:c>
      <x:c r="S4" s="54" t="str"/>
      <x:c r="T4" s="54" t="str"/>
      <x:c r="U4" s="54" t="str"/>
      <x:c r="V4" s="54" t="n">
        <x:v>2</x:v>
      </x:c>
      <x:c r="W4" s="54" t="n">
        <x:v>0</x:v>
      </x:c>
      <x:c r="X4" s="54" t="n">
        <x:v>0</x:v>
      </x:c>
      <x:c r="Y4" s="54" t="n">
        <x:v>0</x:v>
      </x:c>
      <x:c r="Z4" s="59" t="n">
        <x:v>0</x:v>
      </x:c>
      <x:c r="AA4" s="54" t="str">
        <x:v>minimax-cn/MiniMax-M3</x:v>
      </x:c>
    </x:row>
    <x:row r="5" ht="56" customHeight="1">
      <x:c r="A5" s="60" t="str">
        <x:v>formal-task001-local-3x3-minimaxm3-20260822-04-native-replicate-01</x:v>
      </x:c>
      <x:c r="B5" s="60" t="str">
        <x:v>Native</x:v>
      </x:c>
      <x:c r="C5" s="61" t="n">
        <x:v>1</x:v>
      </x:c>
      <x:c r="D5" s="61" t="str">
        <x:v>passed</x:v>
      </x:c>
      <x:c r="E5" s="56" t="n">
        <x:v>1</x:v>
      </x:c>
      <x:c r="F5" s="61" t="n">
        <x:v>3</x:v>
      </x:c>
      <x:c r="G5" s="61" t="n">
        <x:v>2</x:v>
      </x:c>
      <x:c r="H5" s="61" t="n">
        <x:v>56</x:v>
      </x:c>
      <x:c r="I5" s="61" t="n">
        <x:v>54</x:v>
      </x:c>
      <x:c r="J5" s="61" t="n">
        <x:v>237782</x:v>
      </x:c>
      <x:c r="K5" s="61" t="n">
        <x:v>50629</x:v>
      </x:c>
      <x:c r="L5" s="61" t="n">
        <x:v>2969088</x:v>
      </x:c>
      <x:c r="M5" s="61" t="n">
        <x:f>J5+K5</x:f>
        <x:v>288411</x:v>
      </x:c>
      <x:c r="N5" s="61" t="n">
        <x:f>M5+L5</x:f>
        <x:v>3257499</x:v>
      </x:c>
      <x:c r="O5" s="62" t="n">
        <x:v>0.31023468</x:v>
      </x:c>
      <x:c r="P5" s="60" t="str">
        <x:v>10/10</x:v>
      </x:c>
      <x:c r="Q5" s="63" t="n">
        <x:v>23</x:v>
      </x:c>
      <x:c r="R5" s="60" t="str">
        <x:v>ses_fd795ceeaffeCPtj6k1ToB8W4U</x:v>
      </x:c>
      <x:c r="S5" s="60" t="str">
        <x:v>python-scala-syntax-mapping、python-scala-idioms、python-scala-oop、python-scala-functional、python-scala-collections、python-scala-libraries</x:v>
      </x:c>
      <x:c r="T5" s="60" t="str"/>
      <x:c r="U5" s="60" t="str"/>
      <x:c r="V5" s="60" t="n">
        <x:v>2</x:v>
      </x:c>
      <x:c r="W5" s="60" t="n">
        <x:v>0</x:v>
      </x:c>
      <x:c r="X5" s="60" t="n">
        <x:v>0</x:v>
      </x:c>
      <x:c r="Y5" s="60" t="n">
        <x:v>0</x:v>
      </x:c>
      <x:c r="Z5" s="59" t="n">
        <x:v>0</x:v>
      </x:c>
      <x:c r="AA5" s="60" t="str">
        <x:v>minimax-cn/MiniMax-M3</x:v>
      </x:c>
    </x:row>
    <x:row r="6" ht="56" customHeight="1">
      <x:c r="A6" s="54" t="str">
        <x:v>formal-task001-local-3x3-minimaxm3-20260822-04-pd-vista-replicate-01</x:v>
      </x:c>
      <x:c r="B6" s="54" t="str">
        <x:v>PD-VISTA</x:v>
      </x:c>
      <x:c r="C6" s="55" t="n">
        <x:v>1</x:v>
      </x:c>
      <x:c r="D6" s="55" t="str">
        <x:v>passed_with_clean_vista_feedback_loop</x:v>
      </x:c>
      <x:c r="E6" s="56" t="n">
        <x:v>1</x:v>
      </x:c>
      <x:c r="F6" s="55" t="n">
        <x:v>6</x:v>
      </x:c>
      <x:c r="G6" s="55" t="n">
        <x:v>1</x:v>
      </x:c>
      <x:c r="H6" s="55" t="n">
        <x:v>45</x:v>
      </x:c>
      <x:c r="I6" s="55" t="n">
        <x:v>39</x:v>
      </x:c>
      <x:c r="J6" s="55" t="n">
        <x:v>49986</x:v>
      </x:c>
      <x:c r="K6" s="55" t="n">
        <x:v>50855</x:v>
      </x:c>
      <x:c r="L6" s="55" t="n">
        <x:v>1259520</x:v>
      </x:c>
      <x:c r="M6" s="55" t="n">
        <x:f>J6+K6</x:f>
        <x:v>100841</x:v>
      </x:c>
      <x:c r="N6" s="55" t="n">
        <x:f>M6+L6</x:f>
        <x:v>1360361</x:v>
      </x:c>
      <x:c r="O6" s="57" t="n">
        <x:v>0.151593</x:v>
      </x:c>
      <x:c r="P6" s="54" t="str">
        <x:v>10/10</x:v>
      </x:c>
      <x:c r="Q6" s="58" t="n">
        <x:v>19</x:v>
      </x:c>
      <x:c r="R6" s="54" t="str">
        <x:v>ses_fd781cf93ffek5qQjPLF4Zkn6Y</x:v>
      </x:c>
      <x:c r="S6" s="54" t="str"/>
      <x:c r="T6" s="54" t="str">
        <x:v>python-scala-oop、python-scala-syntax-mapping</x:v>
      </x:c>
      <x:c r="U6" s="54" t="str">
        <x:v>python-scala-oop、python-scala-syntax-mapping</x:v>
      </x:c>
      <x:c r="V6" s="54" t="n">
        <x:v>5</x:v>
      </x:c>
      <x:c r="W6" s="54" t="n">
        <x:v>5</x:v>
      </x:c>
      <x:c r="X6" s="54" t="n">
        <x:v>2</x:v>
      </x:c>
      <x:c r="Y6" s="54" t="n">
        <x:v>2</x:v>
      </x:c>
      <x:c r="Z6" s="59" t="n">
        <x:v>1</x:v>
      </x:c>
      <x:c r="AA6" s="54" t="str">
        <x:v>minimax-cn/MiniMax-M3</x:v>
      </x:c>
    </x:row>
    <x:row r="7" ht="56" customHeight="1">
      <x:c r="A7" s="60" t="str">
        <x:v>formal-task001-local-3x3-minimaxm3-20260822-04-native-replicate-02</x:v>
      </x:c>
      <x:c r="B7" s="60" t="str">
        <x:v>Native</x:v>
      </x:c>
      <x:c r="C7" s="61" t="n">
        <x:v>2</x:v>
      </x:c>
      <x:c r="D7" s="61" t="str">
        <x:v>passed</x:v>
      </x:c>
      <x:c r="E7" s="56" t="n">
        <x:v>1</x:v>
      </x:c>
      <x:c r="F7" s="61" t="n">
        <x:v>4</x:v>
      </x:c>
      <x:c r="G7" s="61" t="n">
        <x:v>0</x:v>
      </x:c>
      <x:c r="H7" s="61" t="n">
        <x:v>48</x:v>
      </x:c>
      <x:c r="I7" s="61" t="n">
        <x:v>44</x:v>
      </x:c>
      <x:c r="J7" s="61" t="n">
        <x:v>80080</x:v>
      </x:c>
      <x:c r="K7" s="61" t="n">
        <x:v>22403</x:v>
      </x:c>
      <x:c r="L7" s="61" t="n">
        <x:v>2001664</x:v>
      </x:c>
      <x:c r="M7" s="61" t="n">
        <x:f>J7+K7</x:f>
        <x:v>102483</x:v>
      </x:c>
      <x:c r="N7" s="61" t="n">
        <x:f>M7+L7</x:f>
        <x:v>2104147</x:v>
      </x:c>
      <x:c r="O7" s="62" t="n">
        <x:v>0.17100744</x:v>
      </x:c>
      <x:c r="P7" s="60" t="str">
        <x:v>10/10</x:v>
      </x:c>
      <x:c r="Q7" s="63" t="n">
        <x:v>23</x:v>
      </x:c>
      <x:c r="R7" s="60" t="str">
        <x:v>ses_fd7676157ffedFdrRJoJgygDXJ</x:v>
      </x:c>
      <x:c r="S7" s="60" t="str">
        <x:v>python-scala-syntax-mapping、python-scala-idioms、python-scala-oop、python-scala-functional、python-scala-collections、python-scala-libraries</x:v>
      </x:c>
      <x:c r="T7" s="60" t="str"/>
      <x:c r="U7" s="60" t="str"/>
      <x:c r="V7" s="60" t="n">
        <x:v>3</x:v>
      </x:c>
      <x:c r="W7" s="60" t="n">
        <x:v>0</x:v>
      </x:c>
      <x:c r="X7" s="60" t="n">
        <x:v>0</x:v>
      </x:c>
      <x:c r="Y7" s="60" t="n">
        <x:v>0</x:v>
      </x:c>
      <x:c r="Z7" s="59" t="n">
        <x:v>0</x:v>
      </x:c>
      <x:c r="AA7" s="60" t="str">
        <x:v>minimax-cn/MiniMax-M3</x:v>
      </x:c>
    </x:row>
    <x:row r="8" ht="56" customHeight="1">
      <x:c r="A8" s="54" t="str">
        <x:v>formal-task001-local-3x3-minimaxm3-20260822-04-pd-vista-replicate-02</x:v>
      </x:c>
      <x:c r="B8" s="54" t="str">
        <x:v>PD-VISTA</x:v>
      </x:c>
      <x:c r="C8" s="55" t="n">
        <x:v>2</x:v>
      </x:c>
      <x:c r="D8" s="55" t="str">
        <x:v>passed_with_clean_vista_feedback_loop</x:v>
      </x:c>
      <x:c r="E8" s="56" t="n">
        <x:v>1</x:v>
      </x:c>
      <x:c r="F8" s="55" t="n">
        <x:v>3</x:v>
      </x:c>
      <x:c r="G8" s="55" t="n">
        <x:v>0</x:v>
      </x:c>
      <x:c r="H8" s="55" t="n">
        <x:v>39</x:v>
      </x:c>
      <x:c r="I8" s="55" t="n">
        <x:v>36</x:v>
      </x:c>
      <x:c r="J8" s="55" t="n">
        <x:v>45997</x:v>
      </x:c>
      <x:c r="K8" s="55" t="n">
        <x:v>23553</x:v>
      </x:c>
      <x:c r="L8" s="55" t="n">
        <x:v>1095884</x:v>
      </x:c>
      <x:c r="M8" s="55" t="n">
        <x:f>J8+K8</x:f>
        <x:v>69550</x:v>
      </x:c>
      <x:c r="N8" s="55" t="n">
        <x:f>M8+L8</x:f>
        <x:v>1165434</x:v>
      </x:c>
      <x:c r="O8" s="57" t="n">
        <x:v>0.10781574</x:v>
      </x:c>
      <x:c r="P8" s="54" t="str">
        <x:v>10/10</x:v>
      </x:c>
      <x:c r="Q8" s="58" t="n">
        <x:v>24</x:v>
      </x:c>
      <x:c r="R8" s="54" t="str">
        <x:v>ses_fd75957f7ffeOzDxkzuVPQRcKj</x:v>
      </x:c>
      <x:c r="S8" s="54" t="str"/>
      <x:c r="T8" s="54" t="str">
        <x:v>python-scala-oop、python-scala-syntax-mapping</x:v>
      </x:c>
      <x:c r="U8" s="54" t="str">
        <x:v>python-scala-oop、python-scala-syntax-mapping</x:v>
      </x:c>
      <x:c r="V8" s="54" t="n">
        <x:v>2</x:v>
      </x:c>
      <x:c r="W8" s="54" t="n">
        <x:v>2</x:v>
      </x:c>
      <x:c r="X8" s="54" t="n">
        <x:v>2</x:v>
      </x:c>
      <x:c r="Y8" s="54" t="n">
        <x:v>2</x:v>
      </x:c>
      <x:c r="Z8" s="59" t="n">
        <x:v>1</x:v>
      </x:c>
      <x:c r="AA8" s="54" t="str">
        <x:v>minimax-cn/MiniMax-M3</x:v>
      </x:c>
    </x:row>
    <x:row r="9" ht="56" customHeight="1">
      <x:c r="A9" s="60" t="str">
        <x:v>formal-task001-local-3x3-minimaxm3-20260822-04-noskill-replicate-02</x:v>
      </x:c>
      <x:c r="B9" s="60" t="str">
        <x:v>No-Skill</x:v>
      </x:c>
      <x:c r="C9" s="61" t="n">
        <x:v>2</x:v>
      </x:c>
      <x:c r="D9" s="61" t="str">
        <x:v>passed</x:v>
      </x:c>
      <x:c r="E9" s="56" t="n">
        <x:v>1</x:v>
      </x:c>
      <x:c r="F9" s="61" t="n">
        <x:v>3</x:v>
      </x:c>
      <x:c r="G9" s="61" t="n">
        <x:v>0</x:v>
      </x:c>
      <x:c r="H9" s="61" t="n">
        <x:v>25</x:v>
      </x:c>
      <x:c r="I9" s="61" t="n">
        <x:v>22</x:v>
      </x:c>
      <x:c r="J9" s="61" t="n">
        <x:v>65744</x:v>
      </x:c>
      <x:c r="K9" s="61" t="n">
        <x:v>48265</x:v>
      </x:c>
      <x:c r="L9" s="61" t="n">
        <x:v>957647</x:v>
      </x:c>
      <x:c r="M9" s="61" t="n">
        <x:f>J9+K9</x:f>
        <x:v>114009</x:v>
      </x:c>
      <x:c r="N9" s="61" t="n">
        <x:f>M9+L9</x:f>
        <x:v>1071656</x:v>
      </x:c>
      <x:c r="O9" s="62" t="n">
        <x:v>0.13510002</x:v>
      </x:c>
      <x:c r="P9" s="60" t="str">
        <x:v>10/10</x:v>
      </x:c>
      <x:c r="Q9" s="63" t="n">
        <x:v>23</x:v>
      </x:c>
      <x:c r="R9" s="60" t="str">
        <x:v>ses_fd752d633ffe41C6PKcDJDJCkA</x:v>
      </x:c>
      <x:c r="S9" s="60" t="str"/>
      <x:c r="T9" s="60" t="str"/>
      <x:c r="U9" s="60" t="str"/>
      <x:c r="V9" s="60" t="n">
        <x:v>2</x:v>
      </x:c>
      <x:c r="W9" s="60" t="n">
        <x:v>0</x:v>
      </x:c>
      <x:c r="X9" s="60" t="n">
        <x:v>0</x:v>
      </x:c>
      <x:c r="Y9" s="60" t="n">
        <x:v>0</x:v>
      </x:c>
      <x:c r="Z9" s="59" t="n">
        <x:v>0</x:v>
      </x:c>
      <x:c r="AA9" s="60" t="str">
        <x:v>minimax-cn/MiniMax-M3</x:v>
      </x:c>
    </x:row>
    <x:row r="10" ht="56" customHeight="1">
      <x:c r="A10" s="54" t="str">
        <x:v>formal-task001-local-3x3-minimaxm3-20260822-04-pd-vista-replicate-03</x:v>
      </x:c>
      <x:c r="B10" s="54" t="str">
        <x:v>PD-VISTA</x:v>
      </x:c>
      <x:c r="C10" s="55" t="n">
        <x:v>3</x:v>
      </x:c>
      <x:c r="D10" s="55" t="str">
        <x:v>passed_with_clean_vista_feedback_loop</x:v>
      </x:c>
      <x:c r="E10" s="56" t="n">
        <x:v>1</x:v>
      </x:c>
      <x:c r="F10" s="55" t="n">
        <x:v>2</x:v>
      </x:c>
      <x:c r="G10" s="55" t="n">
        <x:v>1</x:v>
      </x:c>
      <x:c r="H10" s="55" t="n">
        <x:v>32</x:v>
      </x:c>
      <x:c r="I10" s="55" t="n">
        <x:v>30</x:v>
      </x:c>
      <x:c r="J10" s="55" t="n">
        <x:v>65498</x:v>
      </x:c>
      <x:c r="K10" s="55" t="n">
        <x:v>43427</x:v>
      </x:c>
      <x:c r="L10" s="55" t="n">
        <x:v>1351569</x:v>
      </x:c>
      <x:c r="M10" s="55" t="n">
        <x:f>J10+K10</x:f>
        <x:v>108925</x:v>
      </x:c>
      <x:c r="N10" s="55" t="n">
        <x:f>M10+L10</x:f>
        <x:v>1460494</x:v>
      </x:c>
      <x:c r="O10" s="57" t="n">
        <x:v>0.15285594</x:v>
      </x:c>
      <x:c r="P10" s="54" t="str">
        <x:v>10/10</x:v>
      </x:c>
      <x:c r="Q10" s="58" t="n">
        <x:v>22</x:v>
      </x:c>
      <x:c r="R10" s="54" t="str">
        <x:v>ses_fd7474e56ffejmGvtxITBo7jSO</x:v>
      </x:c>
      <x:c r="S10" s="54" t="str"/>
      <x:c r="T10" s="54" t="str">
        <x:v>python-scala-syntax-mapping</x:v>
      </x:c>
      <x:c r="U10" s="54" t="str">
        <x:v>python-scala-syntax-mapping</x:v>
      </x:c>
      <x:c r="V10" s="54" t="n">
        <x:v>1</x:v>
      </x:c>
      <x:c r="W10" s="54" t="n">
        <x:v>1</x:v>
      </x:c>
      <x:c r="X10" s="54" t="n">
        <x:v>1</x:v>
      </x:c>
      <x:c r="Y10" s="54" t="n">
        <x:v>1</x:v>
      </x:c>
      <x:c r="Z10" s="59" t="n">
        <x:v>1</x:v>
      </x:c>
      <x:c r="AA10" s="54" t="str">
        <x:v>minimax-cn/MiniMax-M3</x:v>
      </x:c>
    </x:row>
    <x:row r="11" ht="56" customHeight="1">
      <x:c r="A11" s="60" t="str">
        <x:v>formal-task001-local-3x3-minimaxm3-20260822-04-noskill-replicate-03</x:v>
      </x:c>
      <x:c r="B11" s="60" t="str">
        <x:v>No-Skill</x:v>
      </x:c>
      <x:c r="C11" s="61" t="n">
        <x:v>3</x:v>
      </x:c>
      <x:c r="D11" s="61" t="str">
        <x:v>passed</x:v>
      </x:c>
      <x:c r="E11" s="56" t="n">
        <x:v>1</x:v>
      </x:c>
      <x:c r="F11" s="61" t="n">
        <x:v>6</x:v>
      </x:c>
      <x:c r="G11" s="61" t="n">
        <x:v>0</x:v>
      </x:c>
      <x:c r="H11" s="61" t="n">
        <x:v>30</x:v>
      </x:c>
      <x:c r="I11" s="61" t="n">
        <x:v>24</x:v>
      </x:c>
      <x:c r="J11" s="61" t="n">
        <x:v>37210</x:v>
      </x:c>
      <x:c r="K11" s="61" t="n">
        <x:v>115002</x:v>
      </x:c>
      <x:c r="L11" s="61" t="n">
        <x:v>642217</x:v>
      </x:c>
      <x:c r="M11" s="61" t="n">
        <x:f>J11+K11</x:f>
        <x:v>152212</x:v>
      </x:c>
      <x:c r="N11" s="61" t="n">
        <x:f>M11+L11</x:f>
        <x:v>794429</x:v>
      </x:c>
      <x:c r="O11" s="62" t="n">
        <x:v>0.18769842</x:v>
      </x:c>
      <x:c r="P11" s="60" t="str">
        <x:v>10/10</x:v>
      </x:c>
      <x:c r="Q11" s="63" t="n">
        <x:v>22</x:v>
      </x:c>
      <x:c r="R11" s="60" t="str">
        <x:v>ses_fd73df16dffetmK7q8P1adKq1Y</x:v>
      </x:c>
      <x:c r="S11" s="60" t="str"/>
      <x:c r="T11" s="60" t="str"/>
      <x:c r="U11" s="60" t="str"/>
      <x:c r="V11" s="60" t="n">
        <x:v>5</x:v>
      </x:c>
      <x:c r="W11" s="60" t="n">
        <x:v>0</x:v>
      </x:c>
      <x:c r="X11" s="60" t="n">
        <x:v>0</x:v>
      </x:c>
      <x:c r="Y11" s="60" t="n">
        <x:v>0</x:v>
      </x:c>
      <x:c r="Z11" s="59" t="n">
        <x:v>0</x:v>
      </x:c>
      <x:c r="AA11" s="60" t="str">
        <x:v>minimax-cn/MiniMax-M3</x:v>
      </x:c>
    </x:row>
    <x:row r="12" ht="56" customHeight="1">
      <x:c r="A12" s="54" t="str">
        <x:v>formal-task001-local-3x3-minimaxm3-20260822-04-native-replicate-03</x:v>
      </x:c>
      <x:c r="B12" s="54" t="str">
        <x:v>Native</x:v>
      </x:c>
      <x:c r="C12" s="55" t="n">
        <x:v>3</x:v>
      </x:c>
      <x:c r="D12" s="55" t="str">
        <x:v>passed</x:v>
      </x:c>
      <x:c r="E12" s="56" t="n">
        <x:v>1</x:v>
      </x:c>
      <x:c r="F12" s="55" t="n">
        <x:v>3</x:v>
      </x:c>
      <x:c r="G12" s="55" t="n">
        <x:v>0</x:v>
      </x:c>
      <x:c r="H12" s="55" t="n">
        <x:v>47</x:v>
      </x:c>
      <x:c r="I12" s="55" t="n">
        <x:v>44</x:v>
      </x:c>
      <x:c r="J12" s="55" t="n">
        <x:v>103523</x:v>
      </x:c>
      <x:c r="K12" s="55" t="n">
        <x:v>63939</x:v>
      </x:c>
      <x:c r="L12" s="55" t="n">
        <x:v>2949814</x:v>
      </x:c>
      <x:c r="M12" s="55" t="n">
        <x:f>J12+K12</x:f>
        <x:v>167462</x:v>
      </x:c>
      <x:c r="N12" s="55" t="n">
        <x:f>M12+L12</x:f>
        <x:v>3117276</x:v>
      </x:c>
      <x:c r="O12" s="57" t="n">
        <x:v>0.28477254</x:v>
      </x:c>
      <x:c r="P12" s="54" t="str">
        <x:v>10/10</x:v>
      </x:c>
      <x:c r="Q12" s="58" t="n">
        <x:v>22</x:v>
      </x:c>
      <x:c r="R12" s="54" t="str">
        <x:v>ses_fd722b4e8ffepwqUJ0WxgKFtXC</x:v>
      </x:c>
      <x:c r="S12" s="54" t="str">
        <x:v>python-scala-syntax-mapping、python-scala-idioms、python-scala-oop、python-scala-functional、python-scala-collections、python-scala-libraries</x:v>
      </x:c>
      <x:c r="T12" s="54" t="str"/>
      <x:c r="U12" s="54" t="str"/>
      <x:c r="V12" s="54" t="n">
        <x:v>2</x:v>
      </x:c>
      <x:c r="W12" s="54" t="n">
        <x:v>0</x:v>
      </x:c>
      <x:c r="X12" s="54" t="n">
        <x:v>0</x:v>
      </x:c>
      <x:c r="Y12" s="54" t="n">
        <x:v>0</x:v>
      </x:c>
      <x:c r="Z12" s="59" t="n">
        <x:v>0</x:v>
      </x:c>
      <x:c r="AA12" s="54" t="str">
        <x:v>minimax-cn/MiniMax-M3</x:v>
      </x:c>
    </x:row>
  </x:sheetData>
  <x:mergeCells>
    <x:mergeCell ref="A1:AA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6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64" t="str">
        <x:v>Token、轮次与成本汇总</x:v>
      </x:c>
      <x:c r="B1" s="65"/>
      <x:c r="C1" s="65"/>
      <x:c r="D1" s="65"/>
      <x:c r="E1" s="65"/>
      <x:c r="F1" s="65"/>
      <x:c r="G1" s="65"/>
      <x:c r="H1" s="65"/>
      <x:c r="I1" s="65"/>
      <x:c r="J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</x:row>
    <x:row r="3">
      <x:c r="A3" s="20" t="str">
        <x:v>条件</x:v>
      </x:c>
      <x:c r="B3" s="20" t="str">
        <x:v>试验数</x:v>
      </x:c>
      <x:c r="C3" s="20" t="str">
        <x:v>通过数</x:v>
      </x:c>
      <x:c r="D3" s="20" t="str">
        <x:v>通过率</x:v>
      </x:c>
      <x:c r="E3" s="20" t="str">
        <x:v>总轮次</x:v>
      </x:c>
      <x:c r="F3" s="20" t="str">
        <x:v>输入+输出 Token</x:v>
      </x:c>
      <x:c r="G3" s="20" t="str">
        <x:v>缓存读取 Token</x:v>
      </x:c>
      <x:c r="H3" s="20" t="str">
        <x:v>总 Token</x:v>
      </x:c>
      <x:c r="I3" s="20" t="str">
        <x:v>平均总 Token / 组</x:v>
      </x:c>
      <x:c r="J3" s="20" t="str">
        <x:v>记录费用</x:v>
      </x:c>
    </x:row>
    <x:row r="4">
      <x:c r="A4" s="54" t="str">
        <x:v>No-Skill</x:v>
      </x:c>
      <x:c r="B4" s="55" t="n">
        <x:f>COUNTIF('单组明细'!$B$4:$B$12,A4)</x:f>
        <x:v>3</x:v>
      </x:c>
      <x:c r="C4" s="55" t="n">
        <x:f>SUMIF('单组明细'!$B$4:$B$12,A4,'单组明细'!$E$4:$E$12)</x:f>
        <x:v>3</x:v>
      </x:c>
      <x:c r="D4" s="66" t="n">
        <x:f>C4/B4</x:f>
        <x:v>1</x:v>
      </x:c>
      <x:c r="E4" s="55" t="n">
        <x:f>SUMIF('单组明细'!$B$4:$B$12,A4,'单组明细'!$F$4:$F$12)</x:f>
        <x:v>12</x:v>
      </x:c>
      <x:c r="F4" s="55" t="n">
        <x:f>SUMIF('单组明细'!$B$4:$B$12,A4,'单组明细'!$M$4:$M$12)</x:f>
        <x:v>359324</x:v>
      </x:c>
      <x:c r="G4" s="55" t="n">
        <x:f>SUMIF('单组明细'!$B$4:$B$12,A4,'单组明细'!$L$4:$L$12)</x:f>
        <x:v>2586113</x:v>
      </x:c>
      <x:c r="H4" s="55" t="n">
        <x:f>F4+G4</x:f>
        <x:v>2945437</x:v>
      </x:c>
      <x:c r="I4" s="55" t="n">
        <x:f>H4/B4</x:f>
        <x:v>981812.3333333334</x:v>
      </x:c>
      <x:c r="J4" s="57" t="n">
        <x:f>SUMIF('单组明细'!$B$4:$B$12,A4,'单组明细'!$O$4:$O$12)</x:f>
        <x:v>0.44130707999999996</x:v>
      </x:c>
    </x:row>
    <x:row r="5">
      <x:c r="A5" s="60" t="str">
        <x:v>Native</x:v>
      </x:c>
      <x:c r="B5" s="61" t="n">
        <x:f>COUNTIF('单组明细'!$B$4:$B$12,A5)</x:f>
        <x:v>3</x:v>
      </x:c>
      <x:c r="C5" s="61" t="n">
        <x:f>SUMIF('单组明细'!$B$4:$B$12,A5,'单组明细'!$E$4:$E$12)</x:f>
        <x:v>3</x:v>
      </x:c>
      <x:c r="D5" s="67" t="n">
        <x:f>C5/B5</x:f>
        <x:v>1</x:v>
      </x:c>
      <x:c r="E5" s="61" t="n">
        <x:f>SUMIF('单组明细'!$B$4:$B$12,A5,'单组明细'!$F$4:$F$12)</x:f>
        <x:v>10</x:v>
      </x:c>
      <x:c r="F5" s="61" t="n">
        <x:f>SUMIF('单组明细'!$B$4:$B$12,A5,'单组明细'!$M$4:$M$12)</x:f>
        <x:v>558356</x:v>
      </x:c>
      <x:c r="G5" s="61" t="n">
        <x:f>SUMIF('单组明细'!$B$4:$B$12,A5,'单组明细'!$L$4:$L$12)</x:f>
        <x:v>7920566</x:v>
      </x:c>
      <x:c r="H5" s="61" t="n">
        <x:f>F5+G5</x:f>
        <x:v>8478922</x:v>
      </x:c>
      <x:c r="I5" s="61" t="n">
        <x:f>H5/B5</x:f>
        <x:v>2826307.3333333335</x:v>
      </x:c>
      <x:c r="J5" s="62" t="n">
        <x:f>SUMIF('单组明细'!$B$4:$B$12,A5,'单组明细'!$O$4:$O$12)</x:f>
        <x:v>0.76601466</x:v>
      </x:c>
    </x:row>
    <x:row r="6">
      <x:c r="A6" s="54" t="str">
        <x:v>PD-VISTA</x:v>
      </x:c>
      <x:c r="B6" s="55" t="n">
        <x:f>COUNTIF('单组明细'!$B$4:$B$12,A6)</x:f>
        <x:v>3</x:v>
      </x:c>
      <x:c r="C6" s="55" t="n">
        <x:f>SUMIF('单组明细'!$B$4:$B$12,A6,'单组明细'!$E$4:$E$12)</x:f>
        <x:v>3</x:v>
      </x:c>
      <x:c r="D6" s="66" t="n">
        <x:f>C6/B6</x:f>
        <x:v>1</x:v>
      </x:c>
      <x:c r="E6" s="55" t="n">
        <x:f>SUMIF('单组明细'!$B$4:$B$12,A6,'单组明细'!$F$4:$F$12)</x:f>
        <x:v>11</x:v>
      </x:c>
      <x:c r="F6" s="55" t="n">
        <x:f>SUMIF('单组明细'!$B$4:$B$12,A6,'单组明细'!$M$4:$M$12)</x:f>
        <x:v>279316</x:v>
      </x:c>
      <x:c r="G6" s="55" t="n">
        <x:f>SUMIF('单组明细'!$B$4:$B$12,A6,'单组明细'!$L$4:$L$12)</x:f>
        <x:v>3706973</x:v>
      </x:c>
      <x:c r="H6" s="55" t="n">
        <x:f>F6+G6</x:f>
        <x:v>3986289</x:v>
      </x:c>
      <x:c r="I6" s="55" t="n">
        <x:f>H6/B6</x:f>
        <x:v>1328763</x:v>
      </x:c>
      <x:c r="J6" s="57" t="n">
        <x:f>SUMIF('单组明细'!$B$4:$B$12,A6,'单组明细'!$O$4:$O$12)</x:f>
        <x:v>0.41226468000000005</x:v>
      </x:c>
    </x:row>
    <x:row r="7">
      <x:c r="A7" s="65"/>
      <x:c r="B7" s="65"/>
      <x:c r="C7" s="65"/>
      <x:c r="D7" s="65"/>
      <x:c r="E7" s="65"/>
      <x:c r="F7" s="65"/>
      <x:c r="G7" s="65"/>
      <x:c r="H7" s="65"/>
      <x:c r="I7" s="65"/>
      <x:c r="J7" s="65"/>
    </x:row>
    <x:row r="8">
      <x:c r="A8" s="65"/>
      <x:c r="B8" s="65"/>
      <x:c r="C8" s="65"/>
      <x:c r="D8" s="65"/>
      <x:c r="E8" s="65"/>
      <x:c r="F8" s="65"/>
      <x:c r="G8" s="65"/>
      <x:c r="H8" s="65"/>
      <x:c r="I8" s="65"/>
      <x:c r="J8" s="65"/>
    </x:row>
    <x:row r="9">
      <x:c r="A9" s="68" t="str">
        <x:v>关键指标与解释</x:v>
      </x:c>
      <x:c r="B9" s="65"/>
      <x:c r="C9" s="65"/>
      <x:c r="D9" s="65"/>
      <x:c r="E9" s="65"/>
      <x:c r="F9" s="65"/>
      <x:c r="G9" s="65"/>
      <x:c r="H9" s="65"/>
      <x:c r="I9" s="65"/>
      <x:c r="J9" s="65"/>
    </x:row>
    <x:row r="10">
      <x:c r="A10" s="20" t="str">
        <x:v>指标</x:v>
      </x:c>
      <x:c r="B10" s="20" t="str">
        <x:v>数值</x:v>
      </x:c>
      <x:c r="C10" s="20" t="str">
        <x:v>解释</x:v>
      </x:c>
      <x:c r="D10" s="65"/>
      <x:c r="E10" s="65"/>
      <x:c r="F10" s="65"/>
      <x:c r="G10" s="65"/>
      <x:c r="H10" s="65"/>
      <x:c r="I10" s="65"/>
      <x:c r="J10" s="65"/>
    </x:row>
    <x:row r="11">
      <x:c r="A11" s="60" t="str">
        <x:v>9 组总 Token</x:v>
      </x:c>
      <x:c r="B11" s="61" t="n">
        <x:f>SUM(H4:H6)</x:f>
        <x:v>15410648</x:v>
      </x:c>
      <x:c r="C11" s="60" t="str">
        <x:v>输入 + 输出 + 缓存读取，覆盖全部 9 组</x:v>
      </x:c>
      <x:c r="D11" s="65"/>
      <x:c r="E11" s="65"/>
      <x:c r="F11" s="65"/>
      <x:c r="G11" s="65"/>
      <x:c r="H11" s="65"/>
      <x:c r="I11" s="65"/>
      <x:c r="J11" s="65"/>
    </x:row>
    <x:row r="12">
      <x:c r="A12" s="60" t="str">
        <x:v>新鲜 Token</x:v>
      </x:c>
      <x:c r="B12" s="61" t="n">
        <x:f>SUM(F4:F6)</x:f>
        <x:v>1196996</x:v>
      </x:c>
      <x:c r="C12" s="60" t="str">
        <x:v>输入 + 输出，不含缓存读取</x:v>
      </x:c>
      <x:c r="D12" s="65"/>
      <x:c r="E12" s="65"/>
      <x:c r="F12" s="65"/>
      <x:c r="G12" s="65"/>
      <x:c r="H12" s="65"/>
      <x:c r="I12" s="65"/>
      <x:c r="J12" s="65"/>
    </x:row>
    <x:row r="13">
      <x:c r="A13" s="60" t="str">
        <x:v>PD-VISTA 干净闭环</x:v>
      </x:c>
      <x:c r="B13" s="61" t="n">
        <x:v>3</x:v>
      </x:c>
      <x:c r="C13" s="60" t="str">
        <x:v>失败 → 披露 → 访问 → 修复通过的完整闭环</x:v>
      </x:c>
      <x:c r="D13" s="65"/>
      <x:c r="E13" s="65"/>
      <x:c r="F13" s="65"/>
      <x:c r="G13" s="65"/>
      <x:c r="H13" s="65"/>
      <x:c r="I13" s="65"/>
      <x:c r="J13" s="65"/>
    </x:row>
    <x:row r="14">
      <x:c r="A14" s="60" t="str">
        <x:v>模型轮次超时</x:v>
      </x:c>
      <x:c r="B14" s="61" t="n">
        <x:v>4</x:v>
      </x:c>
      <x:c r="C14" s="60" t="str">
        <x:v>OpenCode 工具调用完成后，模型收尾响应达到 7 分钟上限；控制器保留同一会话继续</x:v>
      </x:c>
      <x:c r="D14" s="65"/>
      <x:c r="E14" s="65"/>
      <x:c r="F14" s="65"/>
      <x:c r="G14" s="65"/>
      <x:c r="H14" s="65"/>
      <x:c r="I14" s="65"/>
      <x:c r="J14" s="65"/>
    </x:row>
    <x:row r="15">
      <x:c r="A15" s="60" t="str">
        <x:v>PD-VISTA 新鲜 Token 相对 No-Skill</x:v>
      </x:c>
      <x:c r="B15" s="67" t="n">
        <x:f>F6/F4-1</x:f>
        <x:v>-0.22266255524262224</x:v>
      </x:c>
      <x:c r="C15" s="60" t="str">
        <x:v>负值表示 PD-VISTA 使用更少新鲜 Token</x:v>
      </x:c>
      <x:c r="D15" s="65"/>
      <x:c r="E15" s="65"/>
      <x:c r="F15" s="65"/>
      <x:c r="G15" s="65"/>
      <x:c r="H15" s="65"/>
      <x:c r="I15" s="65"/>
      <x:c r="J15" s="65"/>
    </x:row>
    <x:row r="16">
      <x:c r="A16" s="60" t="str">
        <x:v>PD-VISTA 新鲜 Token 相对 Native</x:v>
      </x:c>
      <x:c r="B16" s="67" t="n">
        <x:f>F6/F5-1</x:f>
        <x:v>-0.4997528458546161</x:v>
      </x:c>
      <x:c r="C16" s="60" t="str">
        <x:v>负值表示 PD-VISTA 使用更少新鲜 Token</x:v>
      </x:c>
      <x:c r="D16" s="65"/>
      <x:c r="E16" s="65"/>
      <x:c r="F16" s="65"/>
      <x:c r="G16" s="65"/>
      <x:c r="H16" s="65"/>
      <x:c r="I16" s="65"/>
      <x:c r="J16" s="65"/>
    </x:row>
  </x:sheetData>
  <x:mergeCells>
    <x:mergeCell ref="A1:J1"/>
    <x:mergeCell ref="A9:J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0" hidden="0" customWidth="1"/>
    <x:col min="3" max="3" width="42" hidden="0" customWidth="1"/>
    <x:col min="4" max="4" width="40" hidden="0" customWidth="1"/>
    <x:col min="5" max="5" width="38" hidden="0" customWidth="1"/>
    <x:col min="6" max="6" width="42" hidden="0" customWidth="1"/>
  </x:cols>
  <x:sheetData>
    <x:row r="1" ht="30" customHeight="1">
      <x:c r="A1" s="3" t="str">
        <x:v>task1 本机 OpenCode 三条件对照实验：方法与流程</x:v>
      </x:c>
    </x:row>
    <x:row r="3">
      <x:c r="A3" s="20" t="str">
        <x:v>阶段</x:v>
      </x:c>
      <x:c r="B3" s="20" t="str">
        <x:v>控制器动作</x:v>
      </x:c>
      <x:c r="C3" s="20" t="str">
        <x:v>模型可见内容</x:v>
      </x:c>
      <x:c r="D3" s="20" t="str">
        <x:v>控制器隐藏内容</x:v>
      </x:c>
      <x:c r="E3" s="20" t="str">
        <x:v>记录证据</x:v>
      </x:c>
      <x:c r="F3" s="20" t="str">
        <x:v>控制目的</x:v>
      </x:c>
    </x:row>
    <x:row r="4" ht="62" customHeight="1">
      <x:c r="A4" s="71" t="str">
        <x:v>1 · 最小依赖准备</x:v>
      </x:c>
      <x:c r="B4" s="54" t="str">
        <x:v>仅在项目内安装 Coursier、Temurin JDK 17、SBT；预热依赖缓存。</x:v>
      </x:c>
      <x:c r="C4" s="54" t="str">
        <x:v>compile.sh 与任务目录</x:v>
      </x:c>
      <x:c r="D4" s="54" t="str">
        <x:v>无</x:v>
      </x:c>
      <x:c r="E4" s="54" t="str">
        <x:v>readiness.json、版本检查</x:v>
      </x:c>
      <x:c r="F4" s="54" t="str">
        <x:v>不安装 Docker、BenchFlow 或 SkillBench 执行栈</x:v>
      </x:c>
    </x:row>
    <x:row r="5" ht="62" customHeight="1">
      <x:c r="A5" s="72" t="str">
        <x:v>2 · 固定执行配置</x:v>
      </x:c>
      <x:c r="B5" s="60" t="str">
        <x:v>读取当前 OpenCode 配置，固定 minimax-cn/MiniMax-M3 与 OpenCode 1.18.18。</x:v>
      </x:c>
      <x:c r="C5" s="60" t="str">
        <x:v>任务提示词</x:v>
      </x:c>
      <x:c r="D5" s="60" t="str">
        <x:v>鉴权存储细节</x:v>
      </x:c>
      <x:c r="E5" s="60" t="str">
        <x:v>二进制 SHA256、数据库模型记录</x:v>
      </x:c>
      <x:c r="F5" s="60" t="str">
        <x:v>确保 9 组使用相同模型与本机配置</x:v>
      </x:c>
    </x:row>
    <x:row r="6" ht="62" customHeight="1">
      <x:c r="A6" s="71" t="str">
        <x:v>3 · 平衡排程</x:v>
      </x:c>
      <x:c r="B6" s="54" t="str">
        <x:v>按 No-Skill→Native→PD-VISTA、Native→PD-VISTA→No-Skill、PD-VISTA→No-Skill→Native 排列 9 组。</x:v>
      </x:c>
      <x:c r="C6" s="54" t="str">
        <x:v>本组任务</x:v>
      </x:c>
      <x:c r="D6" s="54" t="str">
        <x:v>其他组结果</x:v>
      </x:c>
      <x:c r="E6" s="54" t="str">
        <x:v>condition、replicate_id</x:v>
      </x:c>
      <x:c r="F6" s="54" t="str">
        <x:v>降低固定顺序与时间漂移影响</x:v>
      </x:c>
    </x:row>
    <x:row r="7" ht="62" customHeight="1">
      <x:c r="A7" s="72" t="str">
        <x:v>4 · 试验隔离</x:v>
      </x:c>
      <x:c r="B7" s="60" t="str">
        <x:v>每组创建独立工作区、Verifier 目录、OpenCode 状态与唯一会话；仅共享依赖缓存。</x:v>
      </x:c>
      <x:c r="C7" s="60" t="str">
        <x:v>task.md、Tokenizer.py、compile.sh</x:v>
      </x:c>
      <x:c r="D7" s="60" t="str">
        <x:v>其他组工作区与会话</x:v>
      </x:c>
      <x:c r="E7" s="60" t="str">
        <x:v>9 个唯一 session_id</x:v>
      </x:c>
      <x:c r="F7" s="60" t="str">
        <x:v>防止跨组提示、文件和会话污染</x:v>
      </x:c>
    </x:row>
    <x:row r="8" ht="62" customHeight="1">
      <x:c r="A8" s="71" t="str">
        <x:v>5 · No-Skill 条件</x:v>
      </x:c>
      <x:c r="B8" s="54" t="str">
        <x:v>不暴露任何任务 Skill。</x:v>
      </x:c>
      <x:c r="C8" s="54" t="str">
        <x:v>任务文件与公开编译入口</x:v>
      </x:c>
      <x:c r="D8" s="54" t="str">
        <x:v>全部 6 个指导模块</x:v>
      </x:c>
      <x:c r="E8" s="54" t="str">
        <x:v>initially_available_modules 为空</x:v>
      </x:c>
      <x:c r="F8" s="54" t="str">
        <x:v>测量无 Skill 辅助时的任务完成情况</x:v>
      </x:c>
    </x:row>
    <x:row r="9" ht="62" customHeight="1">
      <x:c r="A9" s="72" t="str">
        <x:v>6 · Native 条件</x:v>
      </x:c>
      <x:c r="B9" s="60" t="str">
        <x:v>首轮前完整复制 6 个原始指导模块。</x:v>
      </x:c>
      <x:c r="C9" s="60" t="str">
        <x:v>modules/&lt;module-id&gt;/SKILL.md</x:v>
      </x:c>
      <x:c r="D9" s="60" t="str">
        <x:v>无任务 Skill 隐藏</x:v>
      </x:c>
      <x:c r="E9" s="60" t="str">
        <x:v>initially_available_modules 为 6 项</x:v>
      </x:c>
      <x:c r="F9" s="60" t="str">
        <x:v>测量全部 Skill 前置可见的情况</x:v>
      </x:c>
    </x:row>
    <x:row r="10" ht="62" customHeight="1">
      <x:c r="A10" s="71" t="str">
        <x:v>7 · PD-VISTA 起点</x:v>
      </x:c>
      <x:c r="B10" s="54" t="str">
        <x:v>初始只暴露 VISTA.md；原始模块保存在控制器侧。</x:v>
      </x:c>
      <x:c r="C10" s="54" t="str">
        <x:v>VISTA.md 与任务文件</x:v>
      </x:c>
      <x:c r="D10" s="54" t="str">
        <x:v>manifest.yaml 与原始模块</x:v>
      </x:c>
      <x:c r="E10" s="54" t="str">
        <x:v>initially_available_modules 为空</x:v>
      </x:c>
      <x:c r="F10" s="54" t="str">
        <x:v>只在失败反馈证明有需要时披露</x:v>
      </x:c>
    </x:row>
    <x:row r="11" ht="62" customHeight="1">
      <x:c r="A11" s="72" t="str">
        <x:v>8 · 模型执行</x:v>
      </x:c>
      <x:c r="B11" s="60" t="str">
        <x:v>每轮要求在同一目录写入完整 Scala 2.13 实现，可运行公开 compile.sh。</x:v>
      </x:c>
      <x:c r="C11" s="60" t="str">
        <x:v>公开编译结果</x:v>
      </x:c>
      <x:c r="D11" s="60" t="str">
        <x:v>隐藏测试与答案</x:v>
      </x:c>
      <x:c r="E11" s="60" t="str">
        <x:v>turn-N.jsonl、工具事件</x:v>
      </x:c>
      <x:c r="F11" s="60" t="str">
        <x:v>保持三条件任务目标一致</x:v>
      </x:c>
    </x:row>
    <x:row r="12" ht="62" customHeight="1">
      <x:c r="A12" s="71" t="str">
        <x:v>9 · 统一验收</x:v>
      </x:c>
      <x:c r="B12" s="54" t="str">
        <x:v>每轮后运行同一套本机 Verifier：编译、10 个测试、质量阈值。</x:v>
      </x:c>
      <x:c r="C12" s="54" t="str">
        <x:v>经清洗的公开错误摘要</x:v>
      </x:c>
      <x:c r="D12" s="54" t="str">
        <x:v>Verifier 实现、隐藏测试源码细节</x:v>
      </x:c>
      <x:c r="E12" s="54" t="str">
        <x:v>verifier-turn-N.txt</x:v>
      </x:c>
      <x:c r="F12" s="54" t="str">
        <x:v>提供相同修复信号并避免 oracle 泄露</x:v>
      </x:c>
    </x:row>
    <x:row r="13" ht="62" customHeight="1">
      <x:c r="A13" s="72" t="str">
        <x:v>10 · VISTA 路由</x:v>
      </x:c>
      <x:c r="B13" s="60" t="str">
        <x:v>仅 PD-VISTA 将公开失败分类映射到 manifest，单轮最多披露一个新模块。</x:v>
      </x:c>
      <x:c r="C13" s="60" t="str">
        <x:v>新披露模块的完整目录</x:v>
      </x:c>
      <x:c r="D13" s="60" t="str">
        <x:v>尚未披露模块</x:v>
      </x:c>
      <x:c r="E13" s="60" t="str">
        <x:v>routable_feedback、successful_disclosures</x:v>
      </x:c>
      <x:c r="F13" s="60" t="str">
        <x:v>实现反馈驱动、渐进式技能披露</x:v>
      </x:c>
    </x:row>
    <x:row r="14" ht="62" customHeight="1">
      <x:c r="A14" s="71" t="str">
        <x:v>11 · 超时容错</x:v>
      </x:c>
      <x:c r="B14" s="54" t="str">
        <x:v>单轮 7 分钟；若文件已落盘但收尾卡住，仍验收并在同一会话继续。</x:v>
      </x:c>
      <x:c r="C14" s="54" t="str">
        <x:v>下一轮公开诊断</x:v>
      </x:c>
      <x:c r="D14" s="54" t="str">
        <x:v>服务端内部状态</x:v>
      </x:c>
      <x:c r="E14" s="54" t="str">
        <x:v>model_turn_timeout</x:v>
      </x:c>
      <x:c r="F14" s="54" t="str">
        <x:v>不把空收尾延迟误判为任务能力失败</x:v>
      </x:c>
    </x:row>
    <x:row r="15" ht="62" customHeight="1">
      <x:c r="A15" s="72" t="str">
        <x:v>12 · 停止与审计</x:v>
      </x:c>
      <x:c r="B15" s="60" t="str">
        <x:v>通过即停止；否则最多 6 轮。结束后核对模型、Token、费用、会话、披露访问和 Docker 标志。</x:v>
      </x:c>
      <x:c r="C15" s="60" t="str">
        <x:v>最终结果</x:v>
      </x:c>
      <x:c r="D15" s="60" t="str">
        <x:v>其他条件会话</x:v>
      </x:c>
      <x:c r="E15" s="60" t="str">
        <x:v>group-summary.json、posthoc-audit.json</x:v>
      </x:c>
      <x:c r="F15" s="60" t="str">
        <x:v>形成可复核的 3×3 正式结果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52" hidden="0" customWidth="1"/>
    <x:col min="4" max="4" width="105" hidden="0" customWidth="1"/>
    <x:col min="5" max="5" width="30" hidden="0" customWidth="1"/>
    <x:col min="6" max="6" width="38" hidden="0" customWidth="1"/>
  </x:cols>
  <x:sheetData>
    <x:row r="1" ht="30" customHeight="1">
      <x:c r="A1" s="3" t="str">
        <x:v>task1 实验提示词与条件差异（中文说明 + 原始英文）</x:v>
      </x:c>
    </x:row>
    <x:row r="3">
      <x:c r="A3" s="20" t="str">
        <x:v>条件 / 阶段</x:v>
      </x:c>
      <x:c r="B3" s="20" t="str">
        <x:v>适用轮次</x:v>
      </x:c>
      <x:c r="C3" s="20" t="str">
        <x:v>中文说明</x:v>
      </x:c>
      <x:c r="D3" s="20" t="str">
        <x:v>实验中使用的原始英文提示词 / 模板</x:v>
      </x:c>
      <x:c r="E3" s="20" t="str">
        <x:v>技能可见性</x:v>
      </x:c>
      <x:c r="F3" s="20" t="str">
        <x:v>控制规则</x:v>
      </x:c>
    </x:row>
    <x:row r="4" ht="100" customHeight="1">
      <x:c r="A4" s="71" t="str">
        <x:v>共同基础提示词</x:v>
      </x:c>
      <x:c r="B4" s="54" t="str">
        <x:v>首轮</x:v>
      </x:c>
      <x:c r="C4" s="54" t="str">
        <x:v>限定隔离目录；读取任务与 Python 原实现；输出完整 Scala 2.13 文件；只允许公开编译，隐藏测试由控制器执行。</x:v>
      </x:c>
      <x:c r="D4" s="54" t="str">
        <x:v>Solve the isolated Python-to-Scala translation task in this directory. Work only inside this directory and do not access parent or external directories. Read task.md and Tokenizer.py. Write the complete Scala 2.13 implementation to ./Tokenizer.scala. Preserve all required classes and functions and use maintainable Scala conventions. You may run ./compile.sh for a public compilation check. Hidden unit tests are run only by the controller.</x:v>
      </x:c>
      <x:c r="E4" s="54" t="str">
        <x:v>三条件共同可见</x:v>
      </x:c>
      <x:c r="F4" s="54" t="str">
        <x:v>三条件完全相同</x:v>
      </x:c>
    </x:row>
    <x:row r="5" ht="100" customHeight="1">
      <x:c r="A5" s="72" t="str">
        <x:v>No-Skill</x:v>
      </x:c>
      <x:c r="B5" s="60" t="str">
        <x:v>首轮</x:v>
      </x:c>
      <x:c r="C5" s="60" t="str">
        <x:v>明确没有任务 Skill。</x:v>
      </x:c>
      <x:c r="D5" s="60" t="str">
        <x:v>Solve the isolated Python-to-Scala translation task in this directory. Work only inside this directory and do not access parent or external directories. Read task.md and Tokenizer.py. Write the complete Scala 2.13 implementation to ./Tokenizer.scala. Preserve all required classes and functions and use maintainable Scala conventions. You may run ./compile.sh for a public compilation check. Hidden unit tests are run only by the controller. No task Skill is available in this condition.</x:v>
      </x:c>
      <x:c r="E5" s="60" t="str">
        <x:v>无任务 Skill</x:v>
      </x:c>
      <x:c r="F5" s="60" t="str">
        <x:v>只依靠任务材料和公开反馈</x:v>
      </x:c>
    </x:row>
    <x:row r="6" ht="100" customHeight="1">
      <x:c r="A6" s="71" t="str">
        <x:v>Native</x:v>
      </x:c>
      <x:c r="B6" s="54" t="str">
        <x:v>首轮</x:v>
      </x:c>
      <x:c r="C6" s="54" t="str">
        <x:v>完整 6 个原始指导模块从一开始可用，要求读取相关模块。</x:v>
      </x:c>
      <x:c r="D6" s="54" t="str">
        <x:v>Solve the isolated Python-to-Scala translation task in this directory. Work only inside this directory and do not access parent or external directories. Read task.md and Tokenizer.py. Write the complete Scala 2.13 implementation to ./Tokenizer.scala. Preserve all required classes and functions and use maintainable Scala conventions. You may run ./compile.sh for a public compilation check. Hidden unit tests are run only by the controller. All original guidance modules are available under ./modules/&lt;module-id&gt;/SKILL.md; read and use the relevant modules.</x:v>
      </x:c>
      <x:c r="E6" s="54" t="str">
        <x:v>全部 6 个模块</x:v>
      </x:c>
      <x:c r="F6" s="54" t="str">
        <x:v>前置完整暴露</x:v>
      </x:c>
    </x:row>
    <x:row r="7" ht="100" customHeight="1">
      <x:c r="A7" s="72" t="str">
        <x:v>PD-VISTA</x:v>
      </x:c>
      <x:c r="B7" s="60" t="str">
        <x:v>首轮</x:v>
      </x:c>
      <x:c r="C7" s="60" t="str">
        <x:v>先读 VISTA.md；原始模块初始隐藏，公开编译或测试失败后最多披露一个模块。</x:v>
      </x:c>
      <x:c r="D7" s="60" t="str">
        <x:v>Solve the isolated Python-to-Scala translation task in this directory. Work only inside this directory and do not access parent or external directories. Read task.md and Tokenizer.py. Write the complete Scala 2.13 implementation to ./Tokenizer.scala. Preserve all required classes and functions and use maintainable Scala conventions. You may run ./compile.sh for a public compilation check. Hidden unit tests are run only by the controller. Read VISTA.md. Original guidance modules are initially hidden; after a public compiler or test failure, VISTA may disclose one module under ./modules/&lt;module-id&gt;/SKILL.md.</x:v>
      </x:c>
      <x:c r="E7" s="60" t="str">
        <x:v>仅 VISTA.md</x:v>
      </x:c>
      <x:c r="F7" s="60" t="str">
        <x:v>失败驱动的渐进披露</x:v>
      </x:c>
    </x:row>
    <x:row r="8" ht="100" customHeight="1">
      <x:c r="A8" s="71" t="str">
        <x:v>失败反馈模板</x:v>
      </x:c>
      <x:c r="B8" s="54" t="str">
        <x:v>第 2–6 轮</x:v>
      </x:c>
      <x:c r="C8" s="54" t="str">
        <x:v>向三条件返回同样的公开失败类型和经清洗诊断，继续同一会话修复。</x:v>
      </x:c>
      <x:c r="D8" s="54" t="str">
        <x:v>The public local check failed with &lt;feedback_types&gt;. Public diagnostic:
&lt;sanitized diagnostic&gt;
&lt;condition instruction&gt; Continue in the same session, work only inside this directory, repair ./Tokenizer.scala, and use ./compile.sh when useful.</x:v>
      </x:c>
      <x:c r="E8" s="54" t="str">
        <x:v>由条件指令决定</x:v>
      </x:c>
      <x:c r="F8" s="54" t="str">
        <x:v>不暴露绝对路径、隐藏测试实现或答案</x:v>
      </x:c>
    </x:row>
    <x:row r="9" ht="100" customHeight="1">
      <x:c r="A9" s="72" t="str">
        <x:v>PD-VISTA 新披露指令</x:v>
      </x:c>
      <x:c r="B9" s="60" t="str">
        <x:v>披露后的下一轮</x:v>
      </x:c>
      <x:c r="C9" s="60" t="str">
        <x:v>要求先读取本轮新披露的模块再修复。</x:v>
      </x:c>
      <x:c r="D9" s="60" t="str">
        <x:v>VISTA disclosed ./modules/&lt;module-id&gt;/SKILL.md. Read it before repairing.</x:v>
      </x:c>
      <x:c r="E9" s="60" t="str">
        <x:v>本轮最多新增 1 个模块</x:v>
      </x:c>
      <x:c r="F9" s="60" t="str">
        <x:v>记录后续实际访问</x:v>
      </x:c>
    </x:row>
    <x:row r="10" ht="100" customHeight="1">
      <x:c r="A10" s="71" t="str">
        <x:v>PD-VISTA 已披露指令</x:v>
      </x:c>
      <x:c r="B10" s="54" t="str">
        <x:v>无新模块时</x:v>
      </x:c>
      <x:c r="C10" s="54" t="str">
        <x:v>继续使用已经披露的模块。</x:v>
      </x:c>
      <x:c r="D10" s="54" t="str">
        <x:v>Use the already disclosed modules: &lt;module-id list&gt;.</x:v>
      </x:c>
      <x:c r="E10" s="54" t="str">
        <x:v>仅已披露模块</x:v>
      </x:c>
      <x:c r="F10" s="54" t="str">
        <x:v>禁止访问控制器侧隐藏源</x:v>
      </x:c>
    </x:row>
    <x:row r="11" ht="100" customHeight="1">
      <x:c r="A11" s="72" t="str">
        <x:v>Native 修复指令</x:v>
      </x:c>
      <x:c r="B11" s="60" t="str">
        <x:v>第 2–6 轮</x:v>
      </x:c>
      <x:c r="C11" s="60" t="str">
        <x:v>继续使用首轮已完整提供的模块。</x:v>
      </x:c>
      <x:c r="D11" s="60" t="str">
        <x:v>Use the original modules already available under ./modules/.</x:v>
      </x:c>
      <x:c r="E11" s="60" t="str">
        <x:v>全部 6 个模块</x:v>
      </x:c>
      <x:c r="F11" s="60" t="str">
        <x:v>与首轮可见性一致</x:v>
      </x:c>
    </x:row>
    <x:row r="12" ht="100" customHeight="1">
      <x:c r="A12" s="71" t="str">
        <x:v>No-Skill 修复指令</x:v>
      </x:c>
      <x:c r="B12" s="54" t="str">
        <x:v>第 2–6 轮</x:v>
      </x:c>
      <x:c r="C12" s="54" t="str">
        <x:v>不提供任何模块，仅依据公开失败类别修复。</x:v>
      </x:c>
      <x:c r="D12" s="54" t="str">
        <x:v>No task Skill is available; repair from the public failure category.</x:v>
      </x:c>
      <x:c r="E12" s="54" t="str">
        <x:v>无任务 Skill</x:v>
      </x:c>
      <x:c r="F12" s="54" t="str">
        <x:v>与基线定义一致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6" hidden="0" customWidth="1"/>
    <x:col min="3" max="3" width="24" hidden="0" customWidth="1"/>
    <x:col min="4" max="4" width="12" hidden="0" customWidth="1"/>
    <x:col min="5" max="5" width="12" hidden="0" customWidth="1"/>
    <x:col min="6" max="6" width="46" hidden="0" customWidth="1"/>
    <x:col min="7" max="7" width="38" hidden="0" customWidth="1"/>
    <x:col min="8" max="8" width="12" hidden="0" customWidth="1"/>
    <x:col min="9" max="9" width="42" hidden="0" customWidth="1"/>
  </x:cols>
  <x:sheetData>
    <x:row r="1" ht="30" customHeight="1">
      <x:c r="A1" s="3" t="str">
        <x:v>三条件与 PD-VISTA 披露闭环证据</x:v>
      </x:c>
    </x:row>
    <x:row r="3">
      <x:c r="A3" s="20" t="str">
        <x:v>条件 / 试验</x:v>
      </x:c>
      <x:c r="B3" s="20" t="str">
        <x:v>初始可见性</x:v>
      </x:c>
      <x:c r="C3" s="20" t="str">
        <x:v>首轮结果</x:v>
      </x:c>
      <x:c r="D3" s="20" t="str">
        <x:v>总轮次</x:v>
      </x:c>
      <x:c r="E3" s="20" t="str">
        <x:v>触发机会</x:v>
      </x:c>
      <x:c r="F3" s="20" t="str">
        <x:v>披露模块</x:v>
      </x:c>
      <x:c r="G3" s="20" t="str">
        <x:v>实际访问证据</x:v>
      </x:c>
      <x:c r="H3" s="20" t="str">
        <x:v>模型超时</x:v>
      </x:c>
      <x:c r="I3" s="20" t="str">
        <x:v>最终结果与解释</x:v>
      </x:c>
    </x:row>
    <x:row r="4" ht="58" customHeight="1">
      <x:c r="A4" s="54" t="str">
        <x:v>No-Skill · 3 组</x:v>
      </x:c>
      <x:c r="B4" s="54" t="str">
        <x:v>无模块</x:v>
      </x:c>
      <x:c r="C4" s="54" t="str">
        <x:v>3 组首轮均失败</x:v>
      </x:c>
      <x:c r="D4" s="54" t="n">
        <x:v>12</x:v>
      </x:c>
      <x:c r="E4" s="54" t="n">
        <x:v>9</x:v>
      </x:c>
      <x:c r="F4" s="54" t="str">
        <x:v>无</x:v>
      </x:c>
      <x:c r="G4" s="54" t="str">
        <x:v>无</x:v>
      </x:c>
      <x:c r="H4" s="54" t="n">
        <x:v>0</x:v>
      </x:c>
      <x:c r="I4" s="54" t="str">
        <x:v>3/3 通过；无 Skill 对照</x:v>
      </x:c>
    </x:row>
    <x:row r="5" ht="58" customHeight="1">
      <x:c r="A5" s="60" t="str">
        <x:v>Native · 3 组</x:v>
      </x:c>
      <x:c r="B5" s="60" t="str">
        <x:v>全部 6 个模块</x:v>
      </x:c>
      <x:c r="C5" s="60" t="str">
        <x:v>3 组首轮均失败</x:v>
      </x:c>
      <x:c r="D5" s="60" t="n">
        <x:v>10</x:v>
      </x:c>
      <x:c r="E5" s="60" t="n">
        <x:v>7</x:v>
      </x:c>
      <x:c r="F5" s="60" t="str">
        <x:v>首轮前全部可见</x:v>
      </x:c>
      <x:c r="G5" s="60" t="str">
        <x:v>无需披露后访问证明</x:v>
      </x:c>
      <x:c r="H5" s="60" t="n">
        <x:v>2</x:v>
      </x:c>
      <x:c r="I5" s="60" t="str">
        <x:v>3/3 通过；完整前置暴露对照</x:v>
      </x:c>
    </x:row>
    <x:row r="6" ht="58" customHeight="1">
      <x:c r="A6" s="59" t="str">
        <x:v>PD-VISTA · 重复 1</x:v>
      </x:c>
      <x:c r="B6" s="59" t="str">
        <x:v>仅 VISTA.md</x:v>
      </x:c>
      <x:c r="C6" s="59" t="str">
        <x:v>第 1 轮失败</x:v>
      </x:c>
      <x:c r="D6" s="59" t="n">
        <x:v>6</x:v>
      </x:c>
      <x:c r="E6" s="59" t="n">
        <x:v>5</x:v>
      </x:c>
      <x:c r="F6" s="59" t="str">
        <x:v>python-scala-oop；python-scala-syntax-mapping</x:v>
      </x:c>
      <x:c r="G6" s="59" t="str">
        <x:v>两模块均在后续轮读取</x:v>
      </x:c>
      <x:c r="H6" s="59" t="n">
        <x:v>1</x:v>
      </x:c>
      <x:c r="I6" s="59" t="str">
        <x:v>第 6 轮通过；完整干净闭环</x:v>
      </x:c>
    </x:row>
    <x:row r="7" ht="58" customHeight="1">
      <x:c r="A7" s="59" t="str">
        <x:v>PD-VISTA · 重复 2</x:v>
      </x:c>
      <x:c r="B7" s="59" t="str">
        <x:v>仅 VISTA.md</x:v>
      </x:c>
      <x:c r="C7" s="59" t="str">
        <x:v>第 1 轮失败</x:v>
      </x:c>
      <x:c r="D7" s="59" t="n">
        <x:v>3</x:v>
      </x:c>
      <x:c r="E7" s="59" t="n">
        <x:v>2</x:v>
      </x:c>
      <x:c r="F7" s="59" t="str">
        <x:v>python-scala-oop；python-scala-syntax-mapping</x:v>
      </x:c>
      <x:c r="G7" s="59" t="str">
        <x:v>两模块均在后续轮读取</x:v>
      </x:c>
      <x:c r="H7" s="59" t="n">
        <x:v>0</x:v>
      </x:c>
      <x:c r="I7" s="59" t="str">
        <x:v>第 3 轮通过；完整干净闭环</x:v>
      </x:c>
    </x:row>
    <x:row r="8" ht="58" customHeight="1">
      <x:c r="A8" s="59" t="str">
        <x:v>PD-VISTA · 重复 3</x:v>
      </x:c>
      <x:c r="B8" s="59" t="str">
        <x:v>仅 VISTA.md</x:v>
      </x:c>
      <x:c r="C8" s="59" t="str">
        <x:v>第 1 轮失败</x:v>
      </x:c>
      <x:c r="D8" s="59" t="n">
        <x:v>2</x:v>
      </x:c>
      <x:c r="E8" s="59" t="n">
        <x:v>1</x:v>
      </x:c>
      <x:c r="F8" s="59" t="str">
        <x:v>python-scala-syntax-mapping</x:v>
      </x:c>
      <x:c r="G8" s="59" t="str">
        <x:v>第 2 轮读取</x:v>
      </x:c>
      <x:c r="H8" s="59" t="n">
        <x:v>1</x:v>
      </x:c>
      <x:c r="I8" s="59" t="str">
        <x:v>第 2 轮通过；完整干净闭环</x:v>
      </x:c>
    </x:row>
    <x:row r="9" ht="58" customHeight="1">
      <x:c r="A9" s="59" t="str">
        <x:v>PD-VISTA · 汇总</x:v>
      </x:c>
      <x:c r="B9" s="59" t="str">
        <x:v>仅根路由</x:v>
      </x:c>
      <x:c r="C9" s="59" t="str">
        <x:v>3 组首轮均失败</x:v>
      </x:c>
      <x:c r="D9" s="59" t="n">
        <x:v>11</x:v>
      </x:c>
      <x:c r="E9" s="59" t="n">
        <x:v>8</x:v>
      </x:c>
      <x:c r="F9" s="59" t="str">
        <x:v>成功披露 5 次；涉及 2 个唯一模块</x:v>
      </x:c>
      <x:c r="G9" s="59" t="str">
        <x:v>后续访问 5 次</x:v>
      </x:c>
      <x:c r="H9" s="59" t="n">
        <x:v>2</x:v>
      </x:c>
      <x:c r="I9" s="59" t="str">
        <x:v>3/3 通过；3/3 均形成完整闭环</x:v>
      </x:c>
    </x:row>
  </x:sheetData>
  <x:mergeCells>
    <x:mergeCell ref="A1:I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5" hidden="0" customWidth="1"/>
    <x:col min="3" max="3" width="30" hidden="0" customWidth="1"/>
    <x:col min="4" max="4" width="45" hidden="0" customWidth="1"/>
    <x:col min="5" max="5" width="48" hidden="0" customWidth="1"/>
  </x:cols>
  <x:sheetData>
    <x:row r="1" ht="30" customHeight="1">
      <x:c r="A1" s="3" t="str">
        <x:v>最终审计 JSON → 中文工作簿字段映射</x:v>
      </x:c>
    </x:row>
    <x:row r="3">
      <x:c r="A3" s="20" t="str">
        <x:v>JSON 区域</x:v>
      </x:c>
      <x:c r="B3" s="20" t="str">
        <x:v>JSON 路径</x:v>
      </x:c>
      <x:c r="C3" s="20" t="str">
        <x:v>工作簿位置</x:v>
      </x:c>
      <x:c r="D3" s="20" t="str">
        <x:v>含义</x:v>
      </x:c>
      <x:c r="E3" s="20" t="str">
        <x:v>来源 / 备注</x:v>
      </x:c>
    </x:row>
    <x:row r="4" ht="42" customHeight="1">
      <x:c r="A4" s="71" t="str">
        <x:v>运行</x:v>
      </x:c>
      <x:c r="B4" s="54" t="str">
        <x:v>run_id</x:v>
      </x:c>
      <x:c r="C4" s="54" t="str">
        <x:v>实验总览!B3</x:v>
      </x:c>
      <x:c r="D4" s="54" t="str">
        <x:v>正式实验唯一标识</x:v>
      </x:c>
      <x:c r="E4" s="54" t="str">
        <x:v>posthoc-audit.json</x:v>
      </x:c>
    </x:row>
    <x:row r="5" ht="42" customHeight="1">
      <x:c r="A5" s="72" t="str">
        <x:v>运行</x:v>
      </x:c>
      <x:c r="B5" s="60" t="str">
        <x:v>audit_status</x:v>
      </x:c>
      <x:c r="C5" s="60" t="str">
        <x:v>实验总览!B5</x:v>
      </x:c>
      <x:c r="D5" s="60" t="str">
        <x:v>最终审计状态</x:v>
      </x:c>
      <x:c r="E5" s="60" t="str">
        <x:v>posthoc-audit.json</x:v>
      </x:c>
    </x:row>
    <x:row r="6" ht="42" customHeight="1">
      <x:c r="A6" s="71" t="str">
        <x:v>运行</x:v>
      </x:c>
      <x:c r="B6" s="54" t="str">
        <x:v>completed_trials</x:v>
      </x:c>
      <x:c r="C6" s="54" t="str">
        <x:v>实验总览!B6</x:v>
      </x:c>
      <x:c r="D6" s="54" t="str">
        <x:v>完成试验数</x:v>
      </x:c>
      <x:c r="E6" s="54" t="str">
        <x:v>posthoc-audit.json</x:v>
      </x:c>
    </x:row>
    <x:row r="7" ht="42" customHeight="1">
      <x:c r="A7" s="72" t="str">
        <x:v>运行</x:v>
      </x:c>
      <x:c r="B7" s="60" t="str">
        <x:v>unique_sessions</x:v>
      </x:c>
      <x:c r="C7" s="60" t="str">
        <x:v>实验总览!B7</x:v>
      </x:c>
      <x:c r="D7" s="60" t="str">
        <x:v>不同 OpenCode 会话数量</x:v>
      </x:c>
      <x:c r="E7" s="60" t="str">
        <x:v>posthoc-audit.json</x:v>
      </x:c>
    </x:row>
    <x:row r="8" ht="42" customHeight="1">
      <x:c r="A8" s="71" t="str">
        <x:v>模型</x:v>
      </x:c>
      <x:c r="B8" s="54" t="str">
        <x:v>model_identity.provider_id / model_id</x:v>
      </x:c>
      <x:c r="C8" s="54" t="str">
        <x:v>实验总览!B9</x:v>
      </x:c>
      <x:c r="D8" s="54" t="str">
        <x:v>逐个数据库确认的实际模型</x:v>
      </x:c>
      <x:c r="E8" s="54" t="str">
        <x:v>只读查询 9 个 opencode.db</x:v>
      </x:c>
    </x:row>
    <x:row r="9" ht="42" customHeight="1">
      <x:c r="A9" s="72" t="str">
        <x:v>试验</x:v>
      </x:c>
      <x:c r="B9" s="60" t="str">
        <x:v>group-summary.results[*]</x:v>
      </x:c>
      <x:c r="C9" s="60" t="str">
        <x:v>单组明细!A4:AA12</x:v>
      </x:c>
      <x:c r="D9" s="60" t="str">
        <x:v>条件 × 重复的单组记录</x:v>
      </x:c>
      <x:c r="E9" s="60" t="str">
        <x:v>group-summary.json + result.json</x:v>
      </x:c>
    </x:row>
    <x:row r="10" ht="42" customHeight="1">
      <x:c r="A10" s="71" t="str">
        <x:v>Token</x:v>
      </x:c>
      <x:c r="B10" s="54" t="str">
        <x:v>conditions.*.input_tokens</x:v>
      </x:c>
      <x:c r="C10" s="54" t="str">
        <x:v>单组明细!J4:J12</x:v>
      </x:c>
      <x:c r="D10" s="54" t="str">
        <x:v>输入 Token</x:v>
      </x:c>
      <x:c r="E10" s="54" t="str">
        <x:v>result.json / OpenCode DB 复核</x:v>
      </x:c>
    </x:row>
    <x:row r="11" ht="42" customHeight="1">
      <x:c r="A11" s="72" t="str">
        <x:v>Token</x:v>
      </x:c>
      <x:c r="B11" s="60" t="str">
        <x:v>conditions.*.output_tokens</x:v>
      </x:c>
      <x:c r="C11" s="60" t="str">
        <x:v>单组明细!K4:K12</x:v>
      </x:c>
      <x:c r="D11" s="60" t="str">
        <x:v>输出 Token</x:v>
      </x:c>
      <x:c r="E11" s="60" t="str">
        <x:v>result.json / OpenCode DB 复核</x:v>
      </x:c>
    </x:row>
    <x:row r="12" ht="42" customHeight="1">
      <x:c r="A12" s="71" t="str">
        <x:v>Token</x:v>
      </x:c>
      <x:c r="B12" s="54" t="str">
        <x:v>conditions.*.cache_read_tokens</x:v>
      </x:c>
      <x:c r="C12" s="54" t="str">
        <x:v>单组明细!L4:L12</x:v>
      </x:c>
      <x:c r="D12" s="54" t="str">
        <x:v>缓存读取 Token</x:v>
      </x:c>
      <x:c r="E12" s="54" t="str">
        <x:v>result.json / OpenCode DB 复核</x:v>
      </x:c>
    </x:row>
    <x:row r="13" ht="42" customHeight="1">
      <x:c r="A13" s="72" t="str">
        <x:v>Token</x:v>
      </x:c>
      <x:c r="B13" s="60" t="str">
        <x:v>conditions.*.recorded_cost</x:v>
      </x:c>
      <x:c r="C13" s="60" t="str">
        <x:v>Token与成本!J4:J6</x:v>
      </x:c>
      <x:c r="D13" s="60" t="str">
        <x:v>OpenCode 记录费用</x:v>
      </x:c>
      <x:c r="E13" s="60" t="str">
        <x:v>单组数据库费用汇总</x:v>
      </x:c>
    </x:row>
    <x:row r="14" ht="42" customHeight="1">
      <x:c r="A14" s="71" t="str">
        <x:v>验收</x:v>
      </x:c>
      <x:c r="B14" s="54" t="str">
        <x:v>all_final_unit_tests_10_of_10</x:v>
      </x:c>
      <x:c r="C14" s="54" t="str">
        <x:v>实验总览!B22</x:v>
      </x:c>
      <x:c r="D14" s="54" t="str">
        <x:v>所有最终验收均为 10/10</x:v>
      </x:c>
      <x:c r="E14" s="54" t="str">
        <x:v>posthoc-audit.json</x:v>
      </x:c>
    </x:row>
    <x:row r="15" ht="42" customHeight="1">
      <x:c r="A15" s="72" t="str">
        <x:v>验收</x:v>
      </x:c>
      <x:c r="B15" s="60" t="str">
        <x:v>final_quality_score_range</x:v>
      </x:c>
      <x:c r="C15" s="60" t="str">
        <x:v>单组明细!Q4:Q12</x:v>
      </x:c>
      <x:c r="D15" s="60" t="str">
        <x:v>最终代码质量分</x:v>
      </x:c>
      <x:c r="E15" s="60" t="str">
        <x:v>最终 verifier-turn-N.txt</x:v>
      </x:c>
    </x:row>
    <x:row r="16" ht="42" customHeight="1">
      <x:c r="A16" s="71" t="str">
        <x:v>超时</x:v>
      </x:c>
      <x:c r="B16" s="54" t="str">
        <x:v>turns[*].model_turn_timeout</x:v>
      </x:c>
      <x:c r="C16" s="54" t="str">
        <x:v>单组明细!G4:G12</x:v>
      </x:c>
      <x:c r="D16" s="54" t="str">
        <x:v>模型轮次收尾超时次数</x:v>
      </x:c>
      <x:c r="E16" s="54" t="str">
        <x:v>result.json</x:v>
      </x:c>
    </x:row>
    <x:row r="17" ht="42" customHeight="1">
      <x:c r="A17" s="72" t="str">
        <x:v>披露</x:v>
      </x:c>
      <x:c r="B17" s="60" t="str">
        <x:v>vista_metrics.trigger_opportunities</x:v>
      </x:c>
      <x:c r="C17" s="60" t="str">
        <x:v>单组明细!V4:V12</x:v>
      </x:c>
      <x:c r="D17" s="60" t="str">
        <x:v>公开失败触发机会</x:v>
      </x:c>
      <x:c r="E17" s="60" t="str">
        <x:v>result.json</x:v>
      </x:c>
    </x:row>
    <x:row r="18" ht="42" customHeight="1">
      <x:c r="A18" s="71" t="str">
        <x:v>披露</x:v>
      </x:c>
      <x:c r="B18" s="54" t="str">
        <x:v>disclosed_modules</x:v>
      </x:c>
      <x:c r="C18" s="54" t="str">
        <x:v>单组明细!T4:T12</x:v>
      </x:c>
      <x:c r="D18" s="54" t="str">
        <x:v>实际披露模块</x:v>
      </x:c>
      <x:c r="E18" s="54" t="str">
        <x:v>result.json</x:v>
      </x:c>
    </x:row>
    <x:row r="19" ht="42" customHeight="1">
      <x:c r="A19" s="72" t="str">
        <x:v>披露</x:v>
      </x:c>
      <x:c r="B19" s="60" t="str">
        <x:v>accessed_modules_after_disclosure</x:v>
      </x:c>
      <x:c r="C19" s="60" t="str">
        <x:v>单组明细!U4:U12</x:v>
      </x:c>
      <x:c r="D19" s="60" t="str">
        <x:v>后续实际访问模块</x:v>
      </x:c>
      <x:c r="E19" s="60" t="str">
        <x:v>result.json</x:v>
      </x:c>
    </x:row>
    <x:row r="20" ht="42" customHeight="1">
      <x:c r="A20" s="71" t="str">
        <x:v>披露</x:v>
      </x:c>
      <x:c r="B20" s="54" t="str">
        <x:v>vista_metrics.clean_complete_closure</x:v>
      </x:c>
      <x:c r="C20" s="54" t="str">
        <x:v>单组明细!Z4:Z12</x:v>
      </x:c>
      <x:c r="D20" s="54" t="str">
        <x:v>完整反馈闭环</x:v>
      </x:c>
      <x:c r="E20" s="54" t="str">
        <x:v>result.json</x:v>
      </x:c>
    </x:row>
    <x:row r="21" ht="42" customHeight="1">
      <x:c r="A21" s="72" t="str">
        <x:v>完整性</x:v>
      </x:c>
      <x:c r="B21" s="60" t="str">
        <x:v>docker_used</x:v>
      </x:c>
      <x:c r="C21" s="60" t="str">
        <x:v>实验总览!B25</x:v>
      </x:c>
      <x:c r="D21" s="60" t="str">
        <x:v>是否使用 Docker</x:v>
      </x:c>
      <x:c r="E21" s="60" t="str">
        <x:v>posthoc-audit.json</x:v>
      </x:c>
    </x:row>
    <x:row r="22" ht="42" customHeight="1">
      <x:c r="A22" s="71" t="str">
        <x:v>完整性</x:v>
      </x:c>
      <x:c r="B22" s="54" t="str">
        <x:v>skillbench_execution_route_used</x:v>
      </x:c>
      <x:c r="C22" s="54" t="str">
        <x:v>实验总览!B26</x:v>
      </x:c>
      <x:c r="D22" s="54" t="str">
        <x:v>是否使用 SkillBench 标准执行路线</x:v>
      </x:c>
      <x:c r="E22" s="54" t="str">
        <x:v>posthoc-audit.json</x:v>
      </x:c>
    </x:row>
    <x:row r="23" ht="42" customHeight="1">
      <x:c r="A23" s="72" t="str">
        <x:v>提示词</x:v>
      </x:c>
      <x:c r="B23" s="60" t="str">
        <x:v>COMMON_PROMPT / INITIAL_PROMPTS</x:v>
      </x:c>
      <x:c r="C23" s="60" t="str">
        <x:v>条件提示词!A4:F12</x:v>
      </x:c>
      <x:c r="D23" s="60" t="str">
        <x:v>实际基础与条件提示词</x:v>
      </x:c>
      <x:c r="E23" s="60" t="str">
        <x:v>run_task001_local_group.py</x:v>
      </x:c>
    </x:row>
  </x:sheetData>
  <x:mergeCells>
    <x:mergeCell ref="A1:E1"/>
  </x:mergeCells>
  <x:pageMargins left="0.7" right="0.7" top="0.75" bottom="0.75" header="0.3" footer="0.3"/>
</x:worksheet>
</file>