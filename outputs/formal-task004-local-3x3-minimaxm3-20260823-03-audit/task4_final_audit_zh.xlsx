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fc144c32214079" /></Relationships>
</file>

<file path=xl/workbook.xml><?xml version="1.0" encoding="utf-8"?>
<x:workbook xmlns:x="http://schemas.openxmlformats.org/spreadsheetml/2006/main">
  <x:sheets>
    <x:sheet xmlns:r="http://schemas.openxmlformats.org/officeDocument/2006/relationships" name="实验总览" sheetId="1" r:id="R64eff0b38c4b464b"/>
    <x:sheet xmlns:r="http://schemas.openxmlformats.org/officeDocument/2006/relationships" name="9组明细" sheetId="2" r:id="Rf3b8406db39343bb"/>
    <x:sheet xmlns:r="http://schemas.openxmlformats.org/officeDocument/2006/relationships" name="Token与成本" sheetId="3" r:id="R4b5bb7a8749a4f79"/>
    <x:sheet xmlns:r="http://schemas.openxmlformats.org/officeDocument/2006/relationships" name="方法与流程" sheetId="4" r:id="Rb71cdf0653c0490f"/>
    <x:sheet xmlns:r="http://schemas.openxmlformats.org/officeDocument/2006/relationships" name="原始提示词" sheetId="5" r:id="R4d9a83a614714e91"/>
    <x:sheet xmlns:r="http://schemas.openxmlformats.org/officeDocument/2006/relationships" name="PD-VISTA证据" sheetId="6" r:id="Ra32de92395ae4309"/>
    <x:sheet xmlns:r="http://schemas.openxmlformats.org/officeDocument/2006/relationships" name="字段映射" sheetId="7" r:id="Re97741ed0be14add"/>
    <x:sheet xmlns:r="http://schemas.openxmlformats.org/officeDocument/2006/relationships" name="公式QC" sheetId="8" r:id="Ref1899320aa9406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General"/>
    <x:numFmt numFmtId="201" formatCode="#,##0"/>
    <x:numFmt numFmtId="202" formatCode="0.00000000"/>
    <x:numFmt numFmtId="203" formatCode="0.0%"/>
  </x:numFmts>
  <x:fonts count="4">
    <x:font>
      <x:sz val="11"/>
      <x:name val="Carlito"/>
    </x:font>
    <x:font>
      <x:b/>
      <x:sz val="11"/>
      <x:color rgb="FFFFFFFF"/>
      <x:name val="Carlito"/>
    </x:font>
    <x:font>
      <x:b/>
      <x:sz val="11"/>
      <x:color rgb="FF25364A"/>
      <x:name val="Carlito"/>
    </x:font>
    <x:font>
      <x:sz val="11"/>
      <x:color rgb="FF25364A"/>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F2F2F2"/>
      </x:patternFill>
    </x:fill>
    <x:fill>
      <x:patternFill patternType="solid">
        <x:fgColor rgb="FF2F75B5"/>
      </x:patternFill>
    </x:fill>
  </x:fills>
  <x:borders count="2">
    <x:border/>
    <x:border>
      <x:left style="thin">
        <x:color rgb="FFB8CCE4"/>
      </x:left>
      <x:right style="thin">
        <x:color rgb="FFB8CCE4"/>
      </x:right>
      <x:top style="thin">
        <x:color rgb="FFB8CCE4"/>
      </x:top>
      <x:bottom style="thin">
        <x:color rgb="FFB8CCE4"/>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x:xf numFmtId="0" fontId="3" fillId="0" borderId="1"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wrapText="1"/>
    </x:xf>
    <x:xf numFmtId="0" fontId="3"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3" fillId="4"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3" fillId="0" borderId="1" xfId="0" applyNumberFormat="1" applyFont="1" applyFill="1" applyBorder="1" applyAlignment="1">
      <x:alignment wrapText="1"/>
    </x:xf>
    <x:xf numFmtId="202" fontId="3" fillId="0" borderId="1" xfId="0" applyNumberFormat="1" applyFont="1" applyFill="1" applyBorder="1" applyAlignment="1">
      <x:alignment wrapText="1"/>
    </x:xf>
    <x:xf numFmtId="0" fontId="3" fillId="0" borderId="1" xfId="0" applyNumberFormat="1" applyFont="1" applyFill="1" applyBorder="1" applyAlignment="1">
      <x:alignment wrapText="0"/>
    </x:xf>
    <x:xf numFmtId="0" fontId="3" fillId="5" borderId="1" xfId="0" applyNumberFormat="1" applyFont="1" applyFill="1" applyBorder="1" applyAlignment="1">
      <x:alignment wrapText="0"/>
    </x:xf>
    <x:xf numFmtId="0" fontId="2" fillId="5" borderId="1" xfId="0" applyNumberFormat="1" applyFont="1" applyFill="1" applyBorder="1" applyAlignment="1">
      <x:alignment wrapText="0"/>
    </x:xf>
    <x:xf numFmtId="0" fontId="3" fillId="4" borderId="1" xfId="0" applyNumberFormat="1" applyFont="1" applyFill="1" applyBorder="1" applyAlignment="1">
      <x:alignment wrapText="0"/>
    </x:xf>
    <x:xf numFmtId="0" fontId="0" fillId="6" borderId="0" xfId="0" applyNumberFormat="1" applyFont="1" applyFill="1" applyBorder="1"/>
    <x:xf numFmtId="0" fontId="1" fillId="6" borderId="0" xfId="0" applyNumberFormat="1" applyFont="1" applyFill="1" applyBorder="1"/>
    <x:xf numFmtId="203" fontId="3" fillId="0" borderId="1" xfId="0" applyNumberFormat="1" applyFont="1" applyFill="1" applyBorder="1" applyAlignment="1">
      <x:alignment wrapText="0"/>
    </x:xf>
    <x:xf numFmtId="201" fontId="3" fillId="0" borderId="1" xfId="0" applyNumberFormat="1" applyFont="1" applyFill="1" applyBorder="1" applyAlignment="1">
      <x:alignment wrapText="0"/>
    </x:xf>
    <x:xf numFmtId="202" fontId="3" fillId="0" borderId="1"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e2c82cafa245a5" /><Relationship Type="http://schemas.openxmlformats.org/officeDocument/2006/relationships/theme" Target="/xl/theme/theme1.xml" Id="Rd74215ca948641a4" /><Relationship Type="http://schemas.microsoft.com/office/2022/11/relationships/FeaturePropertyBag" Target="/xl/featurePropertyBag/featurePropertyBag.xml" Id="Rbcc79e2318114150" /><Relationship Type="http://schemas.openxmlformats.org/officeDocument/2006/relationships/sharedStrings" Target="/xl/sharedStrings.xml" Id="Rb5f13cdd527549e4" /><Relationship Type="http://schemas.openxmlformats.org/officeDocument/2006/relationships/worksheet" Target="/xl/worksheets/sheet1.xml" Id="R64eff0b38c4b464b" /><Relationship Type="http://schemas.openxmlformats.org/officeDocument/2006/relationships/worksheet" Target="/xl/worksheets/sheet2.xml" Id="Rf3b8406db39343bb" /><Relationship Type="http://schemas.openxmlformats.org/officeDocument/2006/relationships/worksheet" Target="/xl/worksheets/sheet3.xml" Id="R4b5bb7a8749a4f79" /><Relationship Type="http://schemas.openxmlformats.org/officeDocument/2006/relationships/worksheet" Target="/xl/worksheets/sheet4.xml" Id="Rb71cdf0653c0490f" /><Relationship Type="http://schemas.openxmlformats.org/officeDocument/2006/relationships/worksheet" Target="/xl/worksheets/sheet5.xml" Id="R4d9a83a614714e91" /><Relationship Type="http://schemas.openxmlformats.org/officeDocument/2006/relationships/worksheet" Target="/xl/worksheets/sheet6.xml" Id="Ra32de92395ae4309" /><Relationship Type="http://schemas.openxmlformats.org/officeDocument/2006/relationships/worksheet" Target="/xl/worksheets/sheet7.xml" Id="Re97741ed0be14add" /><Relationship Type="http://schemas.openxmlformats.org/officeDocument/2006/relationships/worksheet" Target="/xl/worksheets/sheet8.xml" Id="Ref1899320aa9406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Task4ConditionSummary" displayName="Task4ConditionSummary" ref="A13:H16" headerRowCount="1" totalsRowCount="0" totalsRowShown="0">
  <x:tableColumns count="8">
    <x:tableColumn id="1" name="条件"/>
    <x:tableColumn id="2" name="试验数"/>
    <x:tableColumn id="3" name="通过数"/>
    <x:tableColumn id="4" name="通过率"/>
    <x:tableColumn id="5" name="总轮次"/>
    <x:tableColumn id="6" name="输入+输出 Token"/>
    <x:tableColumn id="7" name="缓存读取 Token"/>
    <x:tableColumn id="8" name="记录费用"/>
  </x:tableColumns>
  <x:tableStyleInfo name="TableStyleMedium2" showFirstColumn="0" showLastColumn="0" showRowStripes="1" showColumnStripes="0"/>
</x:table>
</file>

<file path=xl/tables/table2.xml><?xml version="1.0" encoding="utf-8"?>
<x:table xmlns:x="http://schemas.openxmlformats.org/spreadsheetml/2006/main" id="1" name="Task4TrialDetail" displayName="Task4TrialDetail" ref="A4:AF13" headerRowCount="1" totalsRowCount="0" totalsRowShown="0">
  <x:tableColumns count="32">
    <x:tableColumn id="1" name="组ID"/>
    <x:tableColumn id="2" name="条件"/>
    <x:tableColumn id="3" name="重复"/>
    <x:tableColumn id="4" name="有效 Attempt"/>
    <x:tableColumn id="5" name="状态"/>
    <x:tableColumn id="6" name="停止原因"/>
    <x:tableColumn id="7" name="Provider"/>
    <x:tableColumn id="8" name="Model"/>
    <x:tableColumn id="9" name="Session ID"/>
    <x:tableColumn id="10" name="最终 Verifier 通过"/>
    <x:tableColumn id="11" name="总轮次"/>
    <x:tableColumn id="12" name="模型收尾超时"/>
    <x:tableColumn id="13" name="请求数"/>
    <x:tableColumn id="14" name="工具调用"/>
    <x:tableColumn id="15" name="输入 Token"/>
    <x:tableColumn id="16" name="输出 Token"/>
    <x:tableColumn id="17" name="缓存读取 Token"/>
    <x:tableColumn id="18" name="输入+输出 Token"/>
    <x:tableColumn id="19" name="DB 记录费用"/>
    <x:tableColumn id="20" name="首轮可见模块"/>
    <x:tableColumn id="21" name="披露模块"/>
    <x:tableColumn id="22" name="下一轮实际访问"/>
    <x:tableColumn id="23" name="触发机会"/>
    <x:tableColumn id="24" name="可路由反馈"/>
    <x:tableColumn id="25" name="成功披露"/>
    <x:tableColumn id="26" name="下一轮模块访问"/>
    <x:tableColumn id="27" name="干净闭环"/>
    <x:tableColumn id="28" name="结果文件"/>
    <x:tableColumn id="29" name="工作区"/>
    <x:tableColumn id="30" name="opencode.db"/>
    <x:tableColumn id="31" name="Docker"/>
    <x:tableColumn id="32" name="SkillBench 路线"/>
  </x:tableColumns>
  <x:tableStyleInfo name="TableStyleMedium2" showFirstColumn="0" showLastColumn="0" showRowStripes="1" showColumnStripes="0"/>
</x:table>
</file>

<file path=xl/tables/table3.xml><?xml version="1.0" encoding="utf-8"?>
<x:table xmlns:x="http://schemas.openxmlformats.org/spreadsheetml/2006/main" id="3" name="Task4UsageDetail" displayName="Task4UsageDetail" ref="A4:J13" headerRowCount="1" totalsRowCount="0" totalsRowShown="0">
  <x:tableColumns count="10">
    <x:tableColumn id="1" name="组ID"/>
    <x:tableColumn id="2" name="条件"/>
    <x:tableColumn id="3" name="重复"/>
    <x:tableColumn id="4" name="请求数"/>
    <x:tableColumn id="5" name="工具调用"/>
    <x:tableColumn id="6" name="输入 Token"/>
    <x:tableColumn id="7" name="输出 Token"/>
    <x:tableColumn id="8" name="缓存读取 Token"/>
    <x:tableColumn id="9" name="输入+输出 Token"/>
    <x:tableColumn id="10" name="DB 记录费用"/>
  </x:tableColumns>
  <x:tableStyleInfo name="TableStyleMedium2" showFirstColumn="0" showLastColumn="0" showRowStripes="1" showColumnStripes="0"/>
</x:table>
</file>

<file path=xl/tables/table4.xml><?xml version="1.0" encoding="utf-8"?>
<x:table xmlns:x="http://schemas.openxmlformats.org/spreadsheetml/2006/main" id="4" name="Task4PDVistaEvidence" displayName="Task4PDVistaEvidence" ref="A4:I7" headerRowCount="1" totalsRowCount="0" totalsRowShown="0">
  <x:tableColumns count="9">
    <x:tableColumn id="1" name="组ID"/>
    <x:tableColumn id="2" name="重复"/>
    <x:tableColumn id="3" name="状态"/>
    <x:tableColumn id="4" name="触发机会"/>
    <x:tableColumn id="5" name="可路由反馈"/>
    <x:tableColumn id="6" name="披露模块"/>
    <x:tableColumn id="7" name="下一轮实际访问"/>
    <x:tableColumn id="8" name="干净闭环"/>
    <x:tableColumn id="9" name="逐轮证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0d8a4cd2574767" /></Relationships>
</file>

<file path=xl/worksheets/_rels/sheet2.xml.rels>&#65279;<?xml version="1.0" encoding="utf-8"?><Relationships xmlns="http://schemas.openxmlformats.org/package/2006/relationships"><Relationship Type="http://schemas.openxmlformats.org/officeDocument/2006/relationships/table" Target="/xl/tables/table2.xml" Id="R2932ea6822c14a45" /></Relationships>
</file>

<file path=xl/worksheets/_rels/sheet3.xml.rels>&#65279;<?xml version="1.0" encoding="utf-8"?><Relationships xmlns="http://schemas.openxmlformats.org/package/2006/relationships"><Relationship Type="http://schemas.openxmlformats.org/officeDocument/2006/relationships/table" Target="/xl/tables/table3.xml" Id="R84b5cf934c0d47d5" /></Relationships>
</file>

<file path=xl/worksheets/_rels/sheet6.xml.rels>&#65279;<?xml version="1.0" encoding="utf-8"?><Relationships xmlns="http://schemas.openxmlformats.org/package/2006/relationships"><Relationship Type="http://schemas.openxmlformats.org/officeDocument/2006/relationships/table" Target="/xl/tables/table4.xml" Id="R9cb4fec2ff1b46f2"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14" hidden="0" customWidth="1"/>
    <x:col min="4" max="4" width="14" hidden="0" customWidth="1"/>
    <x:col min="5" max="5" width="14" hidden="0" customWidth="1"/>
    <x:col min="6" max="6" width="18" hidden="0" customWidth="1"/>
    <x:col min="7" max="7" width="18" hidden="0" customWidth="1"/>
    <x:col min="8" max="8" width="18" hidden="0" customWidth="1"/>
  </x:cols>
  <x:sheetData>
    <x:row r="1" ht="28" customHeight="1">
      <x:c r="A1" s="3" t="str">
        <x:v>Vista task4 · 三条件 × 三重复本机 OpenCode 审计（完成）</x:v>
      </x:c>
      <x:c r="B1" s="3" t="str">
        <x:v>Vista task4 · 三条件 × 三重复本机 OpenCode 审计（完成）</x:v>
      </x:c>
      <x:c r="C1" s="3" t="str">
        <x:v>Vista task4 · 三条件 × 三重复本机 OpenCode 审计（完成）</x:v>
      </x:c>
      <x:c r="D1" s="3" t="str">
        <x:v>Vista task4 · 三条件 × 三重复本机 OpenCode 审计（完成）</x:v>
      </x:c>
      <x:c r="E1" s="3" t="str">
        <x:v>Vista task4 · 三条件 × 三重复本机 OpenCode 审计（完成）</x:v>
      </x:c>
      <x:c r="F1" s="3" t="str">
        <x:v>Vista task4 · 三条件 × 三重复本机 OpenCode 审计（完成）</x:v>
      </x:c>
      <x:c r="G1" s="3" t="str">
        <x:v>Vista task4 · 三条件 × 三重复本机 OpenCode 审计（完成）</x:v>
      </x:c>
      <x:c r="H1" s="3" t="str">
        <x:v>Vista task4 · 三条件 × 三重复本机 OpenCode 审计（完成）</x:v>
      </x:c>
    </x:row>
    <x:row r="3">
      <x:c r="A3" s="21" t="str">
        <x:v>正式批次</x:v>
      </x:c>
      <x:c r="B3" s="19" t="str">
        <x:v>formal-task004-local-3x3-minimaxm3-20260823-03</x:v>
      </x:c>
    </x:row>
    <x:row r="4">
      <x:c r="A4" s="21" t="str">
        <x:v>任务</x:v>
      </x:c>
      <x:c r="B4" s="19" t="str">
        <x:v>task-004 · powerlifting-coef-calc</x:v>
      </x:c>
    </x:row>
    <x:row r="5">
      <x:c r="A5" s="21" t="str">
        <x:v>审计状态</x:v>
      </x:c>
      <x:c r="B5" s="22" t="str">
        <x:f>IF(SUMPRODUCT(--('9组明细'!$J$5:$J$13=TRUE))=9,"通过","受阻")</x:f>
        <x:v>通过</x:v>
      </x:c>
    </x:row>
    <x:row r="6">
      <x:c r="A6" s="21" t="str">
        <x:v>完成试验</x:v>
      </x:c>
      <x:c r="B6" s="19" t="n">
        <x:f>SUMPRODUCT(--('9组明细'!$J$5:$J$13=TRUE))</x:f>
        <x:v>9</x:v>
      </x:c>
    </x:row>
    <x:row r="7">
      <x:c r="A7" s="21" t="str">
        <x:v>独立会话</x:v>
      </x:c>
      <x:c r="B7" s="19" t="n">
        <x:f>COUNTIF('9组明细'!$I$5:$I$13,"&lt;&gt;")</x:f>
        <x:v>9</x:v>
      </x:c>
    </x:row>
    <x:row r="8">
      <x:c r="A8" s="21" t="str">
        <x:v>Verifier 结果</x:v>
      </x:c>
      <x:c r="B8" s="19" t="str">
        <x:f>SUMPRODUCT(--('9组明细'!$J$5:$J$13=TRUE))&amp;"/9 组通过"</x:f>
        <x:v>9/9 组通过</x:v>
      </x:c>
    </x:row>
    <x:row r="9">
      <x:c r="A9" s="21" t="str">
        <x:v>实际提供商 / 模型</x:v>
      </x:c>
      <x:c r="B9" s="19" t="str">
        <x:v>minimax-cn/MiniMax-M3</x:v>
      </x:c>
    </x:row>
    <x:row r="10">
      <x:c r="A10" s="21" t="str">
        <x:v>OpenCode 记录费用</x:v>
      </x:c>
      <x:c r="B10" s="19" t="n">
        <x:f>SUM('9组明细'!$S$5:$S$13)</x:f>
        <x:v>0.6591423</x:v>
      </x:c>
    </x:row>
    <x:row r="12" ht="22" customHeight="1">
      <x:c r="A12" s="24" t="str">
        <x:v>三种条件结果总览</x:v>
      </x:c>
      <x:c r="B12" s="24" t="str">
        <x:v>三种条件结果总览</x:v>
      </x:c>
      <x:c r="C12" s="24" t="str">
        <x:v>三种条件结果总览</x:v>
      </x:c>
      <x:c r="D12" s="24" t="str">
        <x:v>三种条件结果总览</x:v>
      </x:c>
      <x:c r="E12" s="24" t="str">
        <x:v>三种条件结果总览</x:v>
      </x:c>
      <x:c r="F12" s="24" t="str">
        <x:v>三种条件结果总览</x:v>
      </x:c>
      <x:c r="G12" s="24" t="str">
        <x:v>三种条件结果总览</x:v>
      </x:c>
      <x:c r="H12" s="24" t="str">
        <x:v>三种条件结果总览</x:v>
      </x:c>
    </x:row>
    <x:row r="13">
      <x:c r="A13" s="7" t="str">
        <x:v>条件</x:v>
      </x:c>
      <x:c r="B13" s="7" t="str">
        <x:v>试验数</x:v>
      </x:c>
      <x:c r="C13" s="7" t="str">
        <x:v>通过数</x:v>
      </x:c>
      <x:c r="D13" s="7" t="str">
        <x:v>通过率</x:v>
      </x:c>
      <x:c r="E13" s="7" t="str">
        <x:v>总轮次</x:v>
      </x:c>
      <x:c r="F13" s="7" t="str">
        <x:v>输入+输出 Token</x:v>
      </x:c>
      <x:c r="G13" s="7" t="str">
        <x:v>缓存读取 Token</x:v>
      </x:c>
      <x:c r="H13" s="7" t="str">
        <x:v>记录费用</x:v>
      </x:c>
    </x:row>
    <x:row r="14">
      <x:c r="A14" s="19" t="str">
        <x:v>noskill</x:v>
      </x:c>
      <x:c r="B14" s="19" t="n">
        <x:f>COUNTIF('9组明细'!$B$5:$B$13,A14)</x:f>
        <x:v>3</x:v>
      </x:c>
      <x:c r="C14" s="19" t="n">
        <x:f>SUMPRODUCT(--('9组明细'!$B$5:$B$13=A14),--('9组明细'!$J$5:$J$13=TRUE))</x:f>
        <x:v>3</x:v>
      </x:c>
      <x:c r="D14" s="25" t="n">
        <x:f>C14/B14</x:f>
        <x:v>1</x:v>
      </x:c>
      <x:c r="E14" s="19" t="n">
        <x:f>SUMIF('9组明细'!$B$5:$B$13,A14,'9组明细'!$K$5:$K$13)</x:f>
        <x:v>3</x:v>
      </x:c>
      <x:c r="F14" s="26" t="n">
        <x:f>SUMIF('9组明细'!$B$5:$B$13,A14,'9组明细'!$R$5:$R$13)</x:f>
        <x:v>191773</x:v>
      </x:c>
      <x:c r="G14" s="26" t="n">
        <x:f>SUMIF('9组明细'!$B$5:$B$13,A14,'9组明细'!$Q$5:$Q$13)</x:f>
        <x:v>3155496</x:v>
      </x:c>
      <x:c r="H14" s="27" t="n">
        <x:f>SUMIF('9组明细'!$B$5:$B$13,A14,'9组明细'!$S$5:$S$13)</x:f>
        <x:v>0.28833456</x:v>
      </x:c>
    </x:row>
    <x:row r="15">
      <x:c r="A15" s="19" t="str">
        <x:v>native</x:v>
      </x:c>
      <x:c r="B15" s="19" t="n">
        <x:f>COUNTIF('9组明细'!$B$5:$B$13,A15)</x:f>
        <x:v>3</x:v>
      </x:c>
      <x:c r="C15" s="19" t="n">
        <x:f>SUMPRODUCT(--('9组明细'!$B$5:$B$13=A15),--('9组明细'!$J$5:$J$13=TRUE))</x:f>
        <x:v>3</x:v>
      </x:c>
      <x:c r="D15" s="25" t="n">
        <x:f>C15/B15</x:f>
        <x:v>1</x:v>
      </x:c>
      <x:c r="E15" s="19" t="n">
        <x:f>SUMIF('9组明细'!$B$5:$B$13,A15,'9组明细'!$K$5:$K$13)</x:f>
        <x:v>3</x:v>
      </x:c>
      <x:c r="F15" s="26" t="n">
        <x:f>SUMIF('9组明细'!$B$5:$B$13,A15,'9组明细'!$R$5:$R$13)</x:f>
        <x:v>128929</x:v>
      </x:c>
      <x:c r="G15" s="26" t="n">
        <x:f>SUMIF('9组明细'!$B$5:$B$13,A15,'9组明细'!$Q$5:$Q$13)</x:f>
        <x:v>1723900</x:v>
      </x:c>
      <x:c r="H15" s="27" t="n">
        <x:f>SUMIF('9组明细'!$B$5:$B$13,A15,'9组明细'!$S$5:$S$13)</x:f>
        <x:v>0.1607247</x:v>
      </x:c>
    </x:row>
    <x:row r="16">
      <x:c r="A16" s="19" t="str">
        <x:v>pd-vista</x:v>
      </x:c>
      <x:c r="B16" s="19" t="n">
        <x:f>COUNTIF('9组明细'!$B$5:$B$13,A16)</x:f>
        <x:v>3</x:v>
      </x:c>
      <x:c r="C16" s="19" t="n">
        <x:f>SUMPRODUCT(--('9组明细'!$B$5:$B$13=A16),--('9组明细'!$J$5:$J$13=TRUE))</x:f>
        <x:v>3</x:v>
      </x:c>
      <x:c r="D16" s="25" t="n">
        <x:f>C16/B16</x:f>
        <x:v>1</x:v>
      </x:c>
      <x:c r="E16" s="19" t="n">
        <x:f>SUMIF('9组明细'!$B$5:$B$13,A16,'9组明细'!$K$5:$K$13)</x:f>
        <x:v>4</x:v>
      </x:c>
      <x:c r="F16" s="26" t="n">
        <x:f>SUMIF('9组明细'!$B$5:$B$13,A16,'9组明细'!$R$5:$R$13)</x:f>
        <x:v>173552</x:v>
      </x:c>
      <x:c r="G16" s="26" t="n">
        <x:f>SUMIF('9组明细'!$B$5:$B$13,A16,'9组明细'!$Q$5:$Q$13)</x:f>
        <x:v>1523864</x:v>
      </x:c>
      <x:c r="H16" s="27" t="n">
        <x:f>SUMIF('9组明细'!$B$5:$B$13,A16,'9组明细'!$S$5:$S$13)</x:f>
        <x:v>0.21008304</x:v>
      </x:c>
    </x:row>
    <x:row r="19" ht="22" customHeight="1">
      <x:c r="A19" s="24" t="str">
        <x:v>关键完整性检查</x:v>
      </x:c>
      <x:c r="B19" s="24" t="str">
        <x:v>关键完整性检查</x:v>
      </x:c>
      <x:c r="C19" s="24" t="str">
        <x:v>关键完整性检查</x:v>
      </x:c>
      <x:c r="D19" s="24" t="str">
        <x:v>关键完整性检查</x:v>
      </x:c>
      <x:c r="E19" s="24" t="str">
        <x:v>关键完整性检查</x:v>
      </x:c>
      <x:c r="F19" s="24" t="str">
        <x:v>关键完整性检查</x:v>
      </x:c>
      <x:c r="G19" s="24" t="str">
        <x:v>关键完整性检查</x:v>
      </x:c>
      <x:c r="H19" s="24" t="str">
        <x:v>关键完整性检查</x:v>
      </x:c>
    </x:row>
    <x:row r="20">
      <x:c r="A20" s="7" t="str">
        <x:v>检查项</x:v>
      </x:c>
      <x:c r="B20" s="7" t="str">
        <x:v>结果</x:v>
      </x:c>
    </x:row>
    <x:row r="21">
      <x:c r="A21" s="21" t="str">
        <x:v>9 个最终 Verifier 全部通过</x:v>
      </x:c>
      <x:c r="B21" s="22" t="b">
        <x:f>SUMPRODUCT(--('9组明细'!$J$5:$J$13=TRUE))=9</x:f>
        <x:v>1</x:v>
      </x:c>
    </x:row>
    <x:row r="22">
      <x:c r="A22" s="21" t="str">
        <x:v>9 个独立 session 完整</x:v>
      </x:c>
      <x:c r="B22" s="22" t="b">
        <x:f>COUNTIF('9组明细'!$I$5:$I$13,"&lt;&gt;")=9</x:f>
        <x:v>1</x:v>
      </x:c>
    </x:row>
    <x:row r="23">
      <x:c r="A23" s="21" t="str">
        <x:v>实际 Provider/Model 在 9 组一致</x:v>
      </x:c>
      <x:c r="B23" s="22" t="b">
        <x:f>AND(COUNTIF('9组明细'!$G$5:$G$13,"minimax-cn")=9,COUNTIF('9组明细'!$H$5:$H$13,"MiniMax-M3")=9)</x:f>
        <x:v>1</x:v>
      </x:c>
    </x:row>
    <x:row r="24">
      <x:c r="A24" s="21" t="str">
        <x:v>使用 Docker</x:v>
      </x:c>
      <x:c r="B24" s="22" t="b">
        <x:f>SUMPRODUCT(--('9组明细'!$AE$5:$AE$13=TRUE))&gt;0</x:f>
        <x:v>0</x:v>
      </x:c>
    </x:row>
    <x:row r="25">
      <x:c r="A25" s="21" t="str">
        <x:v>使用 SkillBench 标准执行路线</x:v>
      </x:c>
      <x:c r="B25" s="22" t="b">
        <x:f>SUMPRODUCT(--('9组明细'!$AF$5:$AF$13=TRUE))&gt;0</x:f>
        <x:v>0</x:v>
      </x:c>
    </x:row>
    <x:row r="26">
      <x:c r="A26" s="21" t="str">
        <x:v>PD-VISTA 干净闭环数</x:v>
      </x:c>
      <x:c r="B26" s="22" t="n">
        <x:f>SUM('9组明细'!$AA$5:$AA$13)</x:f>
        <x:v>1</x:v>
      </x:c>
    </x:row>
    <x:row r="27">
      <x:c r="A27" s="21" t="str">
        <x:v>模型轮次收尾超时数</x:v>
      </x:c>
      <x:c r="B27" s="22" t="n">
        <x:f>SUM('9组明细'!$L$5:$L$13)</x:f>
        <x:v>3</x:v>
      </x:c>
    </x:row>
    <x:row r="28">
      <x:c r="A28" s="21" t="str">
        <x:v>排除的 429 attempt 数</x:v>
      </x:c>
      <x:c r="B28" s="22" t="n">
        <x:f>33</x:f>
        <x:v>33</x:v>
      </x:c>
    </x:row>
    <x:row r="29">
      <x:c r="A29" s="21" t="str">
        <x:v>公开诊断 / 限流批次已单独列出</x:v>
      </x:c>
      <x:c r="B29" s="22" t="b">
        <x:f>true</x:f>
        <x:v>1</x:v>
      </x:c>
    </x:row>
    <x:row r="32" ht="22" customHeight="1">
      <x:c r="A32" s="24" t="str">
        <x:v>审计来源</x:v>
      </x:c>
      <x:c r="B32" s="24" t="str">
        <x:v>审计来源</x:v>
      </x:c>
      <x:c r="C32" s="24" t="str">
        <x:v>审计来源</x:v>
      </x:c>
      <x:c r="D32" s="24" t="str">
        <x:v>审计来源</x:v>
      </x:c>
      <x:c r="E32" s="24" t="str">
        <x:v>审计来源</x:v>
      </x:c>
      <x:c r="F32" s="24" t="str">
        <x:v>审计来源</x:v>
      </x:c>
      <x:c r="G32" s="24" t="str">
        <x:v>审计来源</x:v>
      </x:c>
      <x:c r="H32" s="24" t="str">
        <x:v>审计来源</x:v>
      </x:c>
    </x:row>
    <x:row r="33">
      <x:c r="A33" s="13" t="str">
        <x:v>/Users/wangjinhua/Downloads/vista-travel-macos-handoff-20260819-192318/data/raw/formal-task004-local-3x3-minimaxm3-20260823-03/group-summary.json</x:v>
      </x:c>
      <x:c r="B33" s="13"/>
      <x:c r="C33" s="13"/>
      <x:c r="D33" s="13"/>
      <x:c r="E33" s="13"/>
      <x:c r="F33" s="13"/>
      <x:c r="G33" s="13"/>
      <x:c r="H33" s="13"/>
    </x:row>
    <x:row r="34">
      <x:c r="A34" s="13" t="str">
        <x:v>/Users/wangjinhua/Downloads/vista-travel-macos-handoff-20260819-192318/outputs/formal-task004-local-3x3-minimaxm3-20260823-03-audit/posthoc-audit.json</x:v>
      </x:c>
      <x:c r="B34" s="13"/>
      <x:c r="C34" s="13"/>
      <x:c r="D34" s="13"/>
      <x:c r="E34" s="13"/>
      <x:c r="F34" s="13"/>
      <x:c r="G34" s="13"/>
      <x:c r="H34" s="13"/>
    </x:row>
    <x:row r="35">
      <x:c r="A35" s="13" t="str">
        <x:v>模型与费用：逐个只读查询隔离 OpenCode opencode.db；最终 Verifier：9 组均 11 passed；正式批次外的诊断与限流 attempt 不计入汇总。No-Skill-03 的控制器误判已人工复核并保留原始证据。</x:v>
      </x:c>
      <x:c r="B35" s="13"/>
      <x:c r="C35" s="13"/>
      <x:c r="D35" s="13"/>
      <x:c r="E35" s="13"/>
      <x:c r="F35" s="13"/>
      <x:c r="G35" s="13"/>
      <x:c r="H35" s="13"/>
    </x:row>
  </x:sheetData>
  <x:mergeCells>
    <x:mergeCell ref="A1:H1"/>
    <x:mergeCell ref="A12:H12"/>
    <x:mergeCell ref="A19:H19"/>
    <x:mergeCell ref="A32:H32"/>
  </x:mergeCells>
  <x:pageMargins left="0.7" right="0.7" top="0.75" bottom="0.75" header="0.3" footer="0.3"/>
  <x:tableParts count="1">
    <x:tablePart xmlns:r="http://schemas.openxmlformats.org/officeDocument/2006/relationships" r:id="R710d8a4cd257476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8" hidden="0" customWidth="1"/>
    <x:col min="4" max="4" width="12" hidden="0" customWidth="1"/>
    <x:col min="5" max="5" width="30" hidden="0" customWidth="1"/>
    <x:col min="6" max="6" width="28" hidden="0" customWidth="1"/>
    <x:col min="7" max="7" width="16" hidden="0" customWidth="1"/>
    <x:col min="8" max="8" width="18" hidden="0" customWidth="1"/>
    <x:col min="9" max="9" width="28" hidden="0" customWidth="1"/>
    <x:col min="10" max="10" width="12" hidden="0" customWidth="1"/>
    <x:col min="11" max="11" width="9" hidden="0" customWidth="1"/>
    <x:col min="12" max="12" width="12" hidden="0" customWidth="1"/>
    <x:col min="13" max="13" width="10" hidden="0" customWidth="1"/>
    <x:col min="14" max="14" width="10" hidden="0" customWidth="1"/>
    <x:col min="15" max="15" width="12" hidden="0" customWidth="1"/>
    <x:col min="16" max="16" width="12" hidden="0" customWidth="1"/>
    <x:col min="17" max="17" width="14" hidden="0" customWidth="1"/>
    <x:col min="18" max="18" width="14" hidden="0" customWidth="1"/>
    <x:col min="19" max="19" width="14" hidden="0" customWidth="1"/>
    <x:col min="20" max="20" width="26" hidden="0" customWidth="1"/>
    <x:col min="21" max="21" width="24" hidden="0" customWidth="1"/>
    <x:col min="22" max="22" width="24" hidden="0" customWidth="1"/>
    <x:col min="23" max="23" width="10" hidden="0" customWidth="1"/>
    <x:col min="24" max="24" width="12" hidden="0" customWidth="1"/>
    <x:col min="25" max="25" width="10" hidden="0" customWidth="1"/>
    <x:col min="26" max="26" width="12" hidden="0" customWidth="1"/>
    <x:col min="27" max="27" width="10" hidden="0" customWidth="1"/>
    <x:col min="28" max="28" width="18" hidden="0" customWidth="1"/>
    <x:col min="29" max="29" width="44" hidden="0" customWidth="1"/>
    <x:col min="30" max="30" width="56" hidden="0" customWidth="1"/>
    <x:col min="31" max="31" width="10" hidden="0" customWidth="1"/>
    <x:col min="32" max="32" width="14" hidden="0" customWidth="1"/>
  </x:cols>
  <x:sheetData>
    <x:row r="1" ht="28" customHeight="1">
      <x:c r="A1" s="3" t="str">
        <x:v>task4 · 9组明细（formal-task004-local-3x3-minimaxm3-20260823-03）</x:v>
      </x:c>
      <x:c r="B1" s="3" t="str">
        <x:v>task4 · 9组明细（formal-task004-local-3x3-minimaxm3-20260823-03）</x:v>
      </x:c>
      <x:c r="C1" s="3" t="str">
        <x:v>task4 · 9组明细（formal-task004-local-3x3-minimaxm3-20260823-03）</x:v>
      </x:c>
      <x:c r="D1" s="3" t="str">
        <x:v>task4 · 9组明细（formal-task004-local-3x3-minimaxm3-20260823-03）</x:v>
      </x:c>
      <x:c r="E1" s="3" t="str">
        <x:v>task4 · 9组明细（formal-task004-local-3x3-minimaxm3-20260823-03）</x:v>
      </x:c>
      <x:c r="F1" s="3" t="str">
        <x:v>task4 · 9组明细（formal-task004-local-3x3-minimaxm3-20260823-03）</x:v>
      </x:c>
      <x:c r="G1" s="3" t="str">
        <x:v>task4 · 9组明细（formal-task004-local-3x3-minimaxm3-20260823-03）</x:v>
      </x:c>
      <x:c r="H1" s="3" t="str">
        <x:v>task4 · 9组明细（formal-task004-local-3x3-minimaxm3-20260823-03）</x:v>
      </x:c>
      <x:c r="I1" s="3" t="str">
        <x:v>task4 · 9组明细（formal-task004-local-3x3-minimaxm3-20260823-03）</x:v>
      </x:c>
      <x:c r="J1" s="3" t="str">
        <x:v>task4 · 9组明细（formal-task004-local-3x3-minimaxm3-20260823-03）</x:v>
      </x:c>
      <x:c r="K1" s="3" t="str">
        <x:v>task4 · 9组明细（formal-task004-local-3x3-minimaxm3-20260823-03）</x:v>
      </x:c>
      <x:c r="L1" s="3" t="str">
        <x:v>task4 · 9组明细（formal-task004-local-3x3-minimaxm3-20260823-03）</x:v>
      </x:c>
      <x:c r="M1" s="3" t="str">
        <x:v>task4 · 9组明细（formal-task004-local-3x3-minimaxm3-20260823-03）</x:v>
      </x:c>
      <x:c r="N1" s="3" t="str">
        <x:v>task4 · 9组明细（formal-task004-local-3x3-minimaxm3-20260823-03）</x:v>
      </x:c>
      <x:c r="O1" s="3" t="str">
        <x:v>task4 · 9组明细（formal-task004-local-3x3-minimaxm3-20260823-03）</x:v>
      </x:c>
      <x:c r="P1" s="3" t="str">
        <x:v>task4 · 9组明细（formal-task004-local-3x3-minimaxm3-20260823-03）</x:v>
      </x:c>
      <x:c r="Q1" s="3" t="str">
        <x:v>task4 · 9组明细（formal-task004-local-3x3-minimaxm3-20260823-03）</x:v>
      </x:c>
      <x:c r="R1" s="3" t="str">
        <x:v>task4 · 9组明细（formal-task004-local-3x3-minimaxm3-20260823-03）</x:v>
      </x:c>
      <x:c r="S1" s="3" t="str">
        <x:v>task4 · 9组明细（formal-task004-local-3x3-minimaxm3-20260823-03）</x:v>
      </x:c>
      <x:c r="T1" s="3" t="str">
        <x:v>task4 · 9组明细（formal-task004-local-3x3-minimaxm3-20260823-03）</x:v>
      </x:c>
      <x:c r="U1" s="3" t="str">
        <x:v>task4 · 9组明细（formal-task004-local-3x3-minimaxm3-20260823-03）</x:v>
      </x:c>
      <x:c r="V1" s="3" t="str">
        <x:v>task4 · 9组明细（formal-task004-local-3x3-minimaxm3-20260823-03）</x:v>
      </x:c>
      <x:c r="W1" s="3" t="str">
        <x:v>task4 · 9组明细（formal-task004-local-3x3-minimaxm3-20260823-03）</x:v>
      </x:c>
      <x:c r="X1" s="3" t="str">
        <x:v>task4 · 9组明细（formal-task004-local-3x3-minimaxm3-20260823-03）</x:v>
      </x:c>
      <x:c r="Y1" s="3" t="str">
        <x:v>task4 · 9组明细（formal-task004-local-3x3-minimaxm3-20260823-03）</x:v>
      </x:c>
      <x:c r="Z1" s="3" t="str">
        <x:v>task4 · 9组明细（formal-task004-local-3x3-minimaxm3-20260823-03）</x:v>
      </x:c>
      <x:c r="AA1" s="3" t="str">
        <x:v>task4 · 9组明细（formal-task004-local-3x3-minimaxm3-20260823-03）</x:v>
      </x:c>
      <x:c r="AB1" s="3" t="str">
        <x:v>task4 · 9组明细（formal-task004-local-3x3-minimaxm3-20260823-03）</x:v>
      </x:c>
      <x:c r="AC1" s="3" t="str">
        <x:v>task4 · 9组明细（formal-task004-local-3x3-minimaxm3-20260823-03）</x:v>
      </x:c>
      <x:c r="AD1" s="3" t="str">
        <x:v>task4 · 9组明细（formal-task004-local-3x3-minimaxm3-20260823-03）</x:v>
      </x:c>
      <x:c r="AE1" s="3" t="str">
        <x:v>task4 · 9组明细（formal-task004-local-3x3-minimaxm3-20260823-03）</x:v>
      </x:c>
      <x:c r="AF1" s="3" t="str">
        <x:v>task4 · 9组明细（formal-task004-local-3x3-minimaxm3-20260823-03）</x:v>
      </x:c>
    </x:row>
    <x:row r="4">
      <x:c r="A4" s="7" t="str">
        <x:v>组ID</x:v>
      </x:c>
      <x:c r="B4" s="7" t="str">
        <x:v>条件</x:v>
      </x:c>
      <x:c r="C4" s="7" t="str">
        <x:v>重复</x:v>
      </x:c>
      <x:c r="D4" s="7" t="str">
        <x:v>有效 Attempt</x:v>
      </x:c>
      <x:c r="E4" s="7" t="str">
        <x:v>状态</x:v>
      </x:c>
      <x:c r="F4" s="7" t="str">
        <x:v>停止原因</x:v>
      </x:c>
      <x:c r="G4" s="7" t="str">
        <x:v>Provider</x:v>
      </x:c>
      <x:c r="H4" s="7" t="str">
        <x:v>Model</x:v>
      </x:c>
      <x:c r="I4" s="7" t="str">
        <x:v>Session ID</x:v>
      </x:c>
      <x:c r="J4" s="7" t="str">
        <x:v>最终 Verifier 通过</x:v>
      </x:c>
      <x:c r="K4" s="7" t="str">
        <x:v>总轮次</x:v>
      </x:c>
      <x:c r="L4" s="7" t="str">
        <x:v>模型收尾超时</x:v>
      </x:c>
      <x:c r="M4" s="7" t="str">
        <x:v>请求数</x:v>
      </x:c>
      <x:c r="N4" s="7" t="str">
        <x:v>工具调用</x:v>
      </x:c>
      <x:c r="O4" s="7" t="str">
        <x:v>输入 Token</x:v>
      </x:c>
      <x:c r="P4" s="7" t="str">
        <x:v>输出 Token</x:v>
      </x:c>
      <x:c r="Q4" s="7" t="str">
        <x:v>缓存读取 Token</x:v>
      </x:c>
      <x:c r="R4" s="7" t="str">
        <x:v>输入+输出 Token</x:v>
      </x:c>
      <x:c r="S4" s="7" t="str">
        <x:v>DB 记录费用</x:v>
      </x:c>
      <x:c r="T4" s="7" t="str">
        <x:v>首轮可见模块</x:v>
      </x:c>
      <x:c r="U4" s="7" t="str">
        <x:v>披露模块</x:v>
      </x:c>
      <x:c r="V4" s="7" t="str">
        <x:v>下一轮实际访问</x:v>
      </x:c>
      <x:c r="W4" s="7" t="str">
        <x:v>触发机会</x:v>
      </x:c>
      <x:c r="X4" s="7" t="str">
        <x:v>可路由反馈</x:v>
      </x:c>
      <x:c r="Y4" s="7" t="str">
        <x:v>成功披露</x:v>
      </x:c>
      <x:c r="Z4" s="7" t="str">
        <x:v>下一轮模块访问</x:v>
      </x:c>
      <x:c r="AA4" s="7" t="str">
        <x:v>干净闭环</x:v>
      </x:c>
      <x:c r="AB4" s="7" t="str">
        <x:v>结果文件</x:v>
      </x:c>
      <x:c r="AC4" s="7" t="str">
        <x:v>工作区</x:v>
      </x:c>
      <x:c r="AD4" s="7" t="str">
        <x:v>opencode.db</x:v>
      </x:c>
      <x:c r="AE4" s="7" t="str">
        <x:v>Docker</x:v>
      </x:c>
      <x:c r="AF4" s="7" t="str">
        <x:v>SkillBench 路线</x:v>
      </x:c>
    </x:row>
    <x:row r="5">
      <x:c r="A5" s="13" t="str">
        <x:v>noskill-01</x:v>
      </x:c>
      <x:c r="B5" s="13" t="str">
        <x:v>noskill</x:v>
      </x:c>
      <x:c r="C5" s="13" t="n">
        <x:v>1</x:v>
      </x:c>
      <x:c r="D5" s="13" t="n">
        <x:v>1</x:v>
      </x:c>
      <x:c r="E5" s="13" t="str">
        <x:v>passed</x:v>
      </x:c>
      <x:c r="F5" s="13" t="str">
        <x:v>verifier_pass</x:v>
      </x:c>
      <x:c r="G5" s="13" t="str">
        <x:v>minimax-cn</x:v>
      </x:c>
      <x:c r="H5" s="13" t="str">
        <x:v>MiniMax-M3</x:v>
      </x:c>
      <x:c r="I5" s="13" t="str">
        <x:v>ses_fd1473ad6ffet0yACfIgV5WI85</x:v>
      </x:c>
      <x:c r="J5" s="16" t="b">
        <x:v>1</x:v>
      </x:c>
      <x:c r="K5" s="17" t="n">
        <x:v>1</x:v>
      </x:c>
      <x:c r="L5" s="17" t="n">
        <x:v>0</x:v>
      </x:c>
      <x:c r="M5" s="17" t="n">
        <x:v>36</x:v>
      </x:c>
      <x:c r="N5" s="17" t="n">
        <x:v>35</x:v>
      </x:c>
      <x:c r="O5" s="17" t="n">
        <x:v>43934</x:v>
      </x:c>
      <x:c r="P5" s="17" t="n">
        <x:v>20185</x:v>
      </x:c>
      <x:c r="Q5" s="17" t="n">
        <x:v>987889</x:v>
      </x:c>
      <x:c r="R5" s="17" t="n">
        <x:f>O5+P5</x:f>
        <x:v>64119</x:v>
      </x:c>
      <x:c r="S5" s="18" t="n">
        <x:v>0.09667554</x:v>
      </x:c>
      <x:c r="T5" s="13" t="str">
        <x:v>—</x:v>
      </x:c>
      <x:c r="U5" s="13" t="str">
        <x:v>—</x:v>
      </x:c>
      <x:c r="V5" s="13" t="str">
        <x:v>—</x:v>
      </x:c>
      <x:c r="W5" s="13" t="n">
        <x:v>0</x:v>
      </x:c>
      <x:c r="X5" s="13" t="n">
        <x:v>0</x:v>
      </x:c>
      <x:c r="Y5" s="13" t="n">
        <x:v>0</x:v>
      </x:c>
      <x:c r="Z5" s="13" t="n">
        <x:v>0</x:v>
      </x:c>
      <x:c r="AA5" s="13" t="n">
        <x:v>0</x:v>
      </x:c>
      <x:c r="AB5" s="13" t="str">
        <x:v>openipf.xlsx</x:v>
      </x:c>
      <x:c r="AC5" s="13" t="str">
        <x:v>/private/tmp/vista-task004-local-3x3-20260823-03/formal-task004-local-3x3-minimaxm3-20260823-03-noskill-replicate-01-attempt-01/workspace</x:v>
      </x:c>
      <x:c r="AD5" s="13" t="str">
        <x:v>/private/tmp/vista-task004-local-3x3-20260823-03/formal-task004-local-3x3-minimaxm3-20260823-03-noskill-replicate-01-attempt-01/opencode-state/data/opencode/opencode.db</x:v>
      </x:c>
      <x:c r="AE5" s="14" t="b">
        <x:v>0</x:v>
      </x:c>
      <x:c r="AF5" s="14" t="b">
        <x:v>0</x:v>
      </x:c>
    </x:row>
    <x:row r="6">
      <x:c r="A6" s="13" t="str">
        <x:v>native-01</x:v>
      </x:c>
      <x:c r="B6" s="13" t="str">
        <x:v>native</x:v>
      </x:c>
      <x:c r="C6" s="13" t="n">
        <x:v>1</x:v>
      </x:c>
      <x:c r="D6" s="13" t="n">
        <x:v>2</x:v>
      </x:c>
      <x:c r="E6" s="13" t="str">
        <x:v>passed</x:v>
      </x:c>
      <x:c r="F6" s="13" t="str">
        <x:v>verifier_pass_after_model_timeout</x:v>
      </x:c>
      <x:c r="G6" s="13" t="str">
        <x:v>minimax-cn</x:v>
      </x:c>
      <x:c r="H6" s="13" t="str">
        <x:v>MiniMax-M3</x:v>
      </x:c>
      <x:c r="I6" s="13" t="str">
        <x:v>ses_fd13dd961ffe4XXmmOssDmAObu</x:v>
      </x:c>
      <x:c r="J6" s="16" t="b">
        <x:v>1</x:v>
      </x:c>
      <x:c r="K6" s="17" t="n">
        <x:v>1</x:v>
      </x:c>
      <x:c r="L6" s="17" t="n">
        <x:v>1</x:v>
      </x:c>
      <x:c r="M6" s="17" t="n">
        <x:v>25</x:v>
      </x:c>
      <x:c r="N6" s="17" t="n">
        <x:v>24</x:v>
      </x:c>
      <x:c r="O6" s="17" t="n">
        <x:v>30177</x:v>
      </x:c>
      <x:c r="P6" s="17" t="n">
        <x:v>5045</x:v>
      </x:c>
      <x:c r="Q6" s="17" t="n">
        <x:v>525564</x:v>
      </x:c>
      <x:c r="R6" s="17" t="n">
        <x:f>O6+P6</x:f>
        <x:v>35222</x:v>
      </x:c>
      <x:c r="S6" s="18" t="n">
        <x:v>0.04664094</x:v>
      </x:c>
      <x:c r="T6" s="13" t="str">
        <x:v>powerlifting、senior-data-scientist、xlsx</x:v>
      </x:c>
      <x:c r="U6" s="13" t="str">
        <x:v>—</x:v>
      </x:c>
      <x:c r="V6" s="13" t="str">
        <x:v>—</x:v>
      </x:c>
      <x:c r="W6" s="13" t="n">
        <x:v>0</x:v>
      </x:c>
      <x:c r="X6" s="13" t="n">
        <x:v>0</x:v>
      </x:c>
      <x:c r="Y6" s="13" t="n">
        <x:v>0</x:v>
      </x:c>
      <x:c r="Z6" s="13" t="n">
        <x:v>0</x:v>
      </x:c>
      <x:c r="AA6" s="13" t="n">
        <x:v>0</x:v>
      </x:c>
      <x:c r="AB6" s="13" t="str">
        <x:v>openipf.xlsx</x:v>
      </x:c>
      <x:c r="AC6" s="13" t="str">
        <x:v>/private/tmp/vista-task004-local-3x3-20260823-03/formal-task004-local-3x3-minimaxm3-20260823-03-native-replicate-01-attempt-02/workspace</x:v>
      </x:c>
      <x:c r="AD6" s="13" t="str">
        <x:v>/private/tmp/vista-task004-local-3x3-20260823-03/formal-task004-local-3x3-minimaxm3-20260823-03-native-replicate-01-attempt-02/opencode-state/data/opencode/opencode.db</x:v>
      </x:c>
      <x:c r="AE6" s="14" t="b">
        <x:v>0</x:v>
      </x:c>
      <x:c r="AF6" s="14" t="b">
        <x:v>0</x:v>
      </x:c>
    </x:row>
    <x:row r="7">
      <x:c r="A7" s="13" t="str">
        <x:v>pd-vista-01</x:v>
      </x:c>
      <x:c r="B7" s="13" t="str">
        <x:v>pd-vista</x:v>
      </x:c>
      <x:c r="C7" s="13" t="n">
        <x:v>1</x:v>
      </x:c>
      <x:c r="D7" s="13" t="n">
        <x:v>2</x:v>
      </x:c>
      <x:c r="E7" s="13" t="str">
        <x:v>passed_without_clean_vista_feedback_loop</x:v>
      </x:c>
      <x:c r="F7" s="13" t="str">
        <x:v>verifier_pass</x:v>
      </x:c>
      <x:c r="G7" s="13" t="str">
        <x:v>minimax-cn</x:v>
      </x:c>
      <x:c r="H7" s="13" t="str">
        <x:v>MiniMax-M3</x:v>
      </x:c>
      <x:c r="I7" s="13" t="str">
        <x:v>ses_fd1363642ffe0jY74nh5f09HD4</x:v>
      </x:c>
      <x:c r="J7" s="16" t="b">
        <x:v>1</x:v>
      </x:c>
      <x:c r="K7" s="17" t="n">
        <x:v>1</x:v>
      </x:c>
      <x:c r="L7" s="17" t="n">
        <x:v>0</x:v>
      </x:c>
      <x:c r="M7" s="17" t="n">
        <x:v>29</x:v>
      </x:c>
      <x:c r="N7" s="17" t="n">
        <x:v>28</x:v>
      </x:c>
      <x:c r="O7" s="17" t="n">
        <x:v>48066</x:v>
      </x:c>
      <x:c r="P7" s="17" t="n">
        <x:v>28295</x:v>
      </x:c>
      <x:c r="Q7" s="17" t="n">
        <x:v>799967</x:v>
      </x:c>
      <x:c r="R7" s="17" t="n">
        <x:f>O7+P7</x:f>
        <x:v>76361</x:v>
      </x:c>
      <x:c r="S7" s="18" t="n">
        <x:v>0.09637182</x:v>
      </x:c>
      <x:c r="T7" s="13" t="str">
        <x:v>—</x:v>
      </x:c>
      <x:c r="U7" s="13" t="str">
        <x:v>—</x:v>
      </x:c>
      <x:c r="V7" s="13" t="str">
        <x:v>—</x:v>
      </x:c>
      <x:c r="W7" s="13" t="n">
        <x:v>0</x:v>
      </x:c>
      <x:c r="X7" s="13" t="n">
        <x:v>0</x:v>
      </x:c>
      <x:c r="Y7" s="13" t="n">
        <x:v>0</x:v>
      </x:c>
      <x:c r="Z7" s="13" t="n">
        <x:v>0</x:v>
      </x:c>
      <x:c r="AA7" s="13" t="n">
        <x:v>0</x:v>
      </x:c>
      <x:c r="AB7" s="13" t="str">
        <x:v>openipf.xlsx</x:v>
      </x:c>
      <x:c r="AC7" s="13" t="str">
        <x:v>/private/tmp/vista-task004-local-3x3-20260823-03/formal-task004-local-3x3-minimaxm3-20260823-03-pd-vista-replicate-01-attempt-02/workspace</x:v>
      </x:c>
      <x:c r="AD7" s="13" t="str">
        <x:v>/private/tmp/vista-task004-local-3x3-20260823-03/formal-task004-local-3x3-minimaxm3-20260823-03-pd-vista-replicate-01-attempt-02/opencode-state/data/opencode/opencode.db</x:v>
      </x:c>
      <x:c r="AE7" s="14" t="b">
        <x:v>0</x:v>
      </x:c>
      <x:c r="AF7" s="14" t="b">
        <x:v>0</x:v>
      </x:c>
    </x:row>
    <x:row r="8">
      <x:c r="A8" s="13" t="str">
        <x:v>native-02</x:v>
      </x:c>
      <x:c r="B8" s="13" t="str">
        <x:v>native</x:v>
      </x:c>
      <x:c r="C8" s="13" t="n">
        <x:v>2</x:v>
      </x:c>
      <x:c r="D8" s="13" t="n">
        <x:v>1</x:v>
      </x:c>
      <x:c r="E8" s="13" t="str">
        <x:v>passed</x:v>
      </x:c>
      <x:c r="F8" s="13" t="str">
        <x:v>verifier_pass_after_model_timeout</x:v>
      </x:c>
      <x:c r="G8" s="13" t="str">
        <x:v>minimax-cn</x:v>
      </x:c>
      <x:c r="H8" s="13" t="str">
        <x:v>MiniMax-M3</x:v>
      </x:c>
      <x:c r="I8" s="13" t="str">
        <x:v>ses_fd130c01bffePIy1N6ZOUf0RzD</x:v>
      </x:c>
      <x:c r="J8" s="16" t="b">
        <x:v>1</x:v>
      </x:c>
      <x:c r="K8" s="17" t="n">
        <x:v>1</x:v>
      </x:c>
      <x:c r="L8" s="17" t="n">
        <x:v>1</x:v>
      </x:c>
      <x:c r="M8" s="17" t="n">
        <x:v>34</x:v>
      </x:c>
      <x:c r="N8" s="17" t="n">
        <x:v>33</x:v>
      </x:c>
      <x:c r="O8" s="17" t="n">
        <x:v>45374</x:v>
      </x:c>
      <x:c r="P8" s="17" t="n">
        <x:v>11180</x:v>
      </x:c>
      <x:c r="Q8" s="17" t="n">
        <x:v>950528</x:v>
      </x:c>
      <x:c r="R8" s="17" t="n">
        <x:f>O8+P8</x:f>
        <x:v>56554</x:v>
      </x:c>
      <x:c r="S8" s="18" t="n">
        <x:v>0.08405988</x:v>
      </x:c>
      <x:c r="T8" s="13" t="str">
        <x:v>powerlifting、senior-data-scientist、xlsx</x:v>
      </x:c>
      <x:c r="U8" s="13" t="str">
        <x:v>—</x:v>
      </x:c>
      <x:c r="V8" s="13" t="str">
        <x:v>—</x:v>
      </x:c>
      <x:c r="W8" s="13" t="n">
        <x:v>0</x:v>
      </x:c>
      <x:c r="X8" s="13" t="n">
        <x:v>0</x:v>
      </x:c>
      <x:c r="Y8" s="13" t="n">
        <x:v>0</x:v>
      </x:c>
      <x:c r="Z8" s="13" t="n">
        <x:v>0</x:v>
      </x:c>
      <x:c r="AA8" s="13" t="n">
        <x:v>0</x:v>
      </x:c>
      <x:c r="AB8" s="13" t="str">
        <x:v>openipf.xlsx</x:v>
      </x:c>
      <x:c r="AC8" s="13" t="str">
        <x:v>/private/tmp/vista-task004-local-3x3-20260823-03/formal-task004-local-3x3-minimaxm3-20260823-03-native-replicate-02-attempt-01/workspace</x:v>
      </x:c>
      <x:c r="AD8" s="13" t="str">
        <x:v>/private/tmp/vista-task004-local-3x3-20260823-03/formal-task004-local-3x3-minimaxm3-20260823-03-native-replicate-02-attempt-01/opencode-state/data/opencode/opencode.db</x:v>
      </x:c>
      <x:c r="AE8" s="14" t="b">
        <x:v>0</x:v>
      </x:c>
      <x:c r="AF8" s="14" t="b">
        <x:v>0</x:v>
      </x:c>
    </x:row>
    <x:row r="9">
      <x:c r="A9" s="13" t="str">
        <x:v>pd-vista-02</x:v>
      </x:c>
      <x:c r="B9" s="13" t="str">
        <x:v>pd-vista</x:v>
      </x:c>
      <x:c r="C9" s="13" t="n">
        <x:v>2</x:v>
      </x:c>
      <x:c r="D9" s="13" t="n">
        <x:v>2</x:v>
      </x:c>
      <x:c r="E9" s="13" t="str">
        <x:v>passed_with_clean_vista_feedback_loop</x:v>
      </x:c>
      <x:c r="F9" s="13" t="str">
        <x:v>verifier_pass</x:v>
      </x:c>
      <x:c r="G9" s="13" t="str">
        <x:v>minimax-cn</x:v>
      </x:c>
      <x:c r="H9" s="13" t="str">
        <x:v>MiniMax-M3</x:v>
      </x:c>
      <x:c r="I9" s="13" t="str">
        <x:v>ses_fd123e128ffe6oZCuXAD6Lvv5o</x:v>
      </x:c>
      <x:c r="J9" s="16" t="b">
        <x:v>1</x:v>
      </x:c>
      <x:c r="K9" s="17" t="n">
        <x:v>2</x:v>
      </x:c>
      <x:c r="L9" s="17" t="n">
        <x:v>0</x:v>
      </x:c>
      <x:c r="M9" s="17" t="n">
        <x:v>25</x:v>
      </x:c>
      <x:c r="N9" s="17" t="n">
        <x:v>23</x:v>
      </x:c>
      <x:c r="O9" s="17" t="n">
        <x:v>34953</x:v>
      </x:c>
      <x:c r="P9" s="17" t="n">
        <x:v>42021</x:v>
      </x:c>
      <x:c r="Q9" s="17" t="n">
        <x:v>556985</x:v>
      </x:c>
      <x:c r="R9" s="17" t="n">
        <x:f>O9+P9</x:f>
        <x:v>76974</x:v>
      </x:c>
      <x:c r="S9" s="18" t="n">
        <x:v>0.0943302</x:v>
      </x:c>
      <x:c r="T9" s="13" t="str">
        <x:v>—</x:v>
      </x:c>
      <x:c r="U9" s="13" t="str">
        <x:v>powerlifting</x:v>
      </x:c>
      <x:c r="V9" s="13" t="str">
        <x:v>powerlifting</x:v>
      </x:c>
      <x:c r="W9" s="13" t="n">
        <x:v>1</x:v>
      </x:c>
      <x:c r="X9" s="13" t="n">
        <x:v>1</x:v>
      </x:c>
      <x:c r="Y9" s="13" t="n">
        <x:v>1</x:v>
      </x:c>
      <x:c r="Z9" s="13" t="n">
        <x:v>1</x:v>
      </x:c>
      <x:c r="AA9" s="13" t="n">
        <x:v>1</x:v>
      </x:c>
      <x:c r="AB9" s="13" t="str">
        <x:v>openipf.xlsx</x:v>
      </x:c>
      <x:c r="AC9" s="13" t="str">
        <x:v>/private/tmp/vista-task004-local-3x3-20260823-03/formal-task004-local-3x3-minimaxm3-20260823-03-pd-vista-replicate-02-attempt-02/workspace</x:v>
      </x:c>
      <x:c r="AD9" s="13" t="str">
        <x:v>/private/tmp/vista-task004-local-3x3-20260823-03/formal-task004-local-3x3-minimaxm3-20260823-03-pd-vista-replicate-02-attempt-02/opencode-state/data/opencode/opencode.db</x:v>
      </x:c>
      <x:c r="AE9" s="14" t="b">
        <x:v>0</x:v>
      </x:c>
      <x:c r="AF9" s="14" t="b">
        <x:v>0</x:v>
      </x:c>
    </x:row>
    <x:row r="10">
      <x:c r="A10" s="13" t="str">
        <x:v>noskill-02</x:v>
      </x:c>
      <x:c r="B10" s="13" t="str">
        <x:v>noskill</x:v>
      </x:c>
      <x:c r="C10" s="13" t="n">
        <x:v>2</x:v>
      </x:c>
      <x:c r="D10" s="13" t="n">
        <x:v>4</x:v>
      </x:c>
      <x:c r="E10" s="13" t="str">
        <x:v>passed</x:v>
      </x:c>
      <x:c r="F10" s="13" t="str">
        <x:v>verifier_pass</x:v>
      </x:c>
      <x:c r="G10" s="13" t="str">
        <x:v>minimax-cn</x:v>
      </x:c>
      <x:c r="H10" s="13" t="str">
        <x:v>MiniMax-M3</x:v>
      </x:c>
      <x:c r="I10" s="13" t="str">
        <x:v>ses_fd10d1bd6ffexybKQCwZt4JKNM</x:v>
      </x:c>
      <x:c r="J10" s="16" t="b">
        <x:v>1</x:v>
      </x:c>
      <x:c r="K10" s="17" t="n">
        <x:v>1</x:v>
      </x:c>
      <x:c r="L10" s="17" t="n">
        <x:v>0</x:v>
      </x:c>
      <x:c r="M10" s="17" t="n">
        <x:v>31</x:v>
      </x:c>
      <x:c r="N10" s="17" t="n">
        <x:v>30</x:v>
      </x:c>
      <x:c r="O10" s="17" t="n">
        <x:v>59814</x:v>
      </x:c>
      <x:c r="P10" s="17" t="n">
        <x:v>9474</x:v>
      </x:c>
      <x:c r="Q10" s="17" t="n">
        <x:v>1155684</x:v>
      </x:c>
      <x:c r="R10" s="17" t="n">
        <x:f>O10+P10</x:f>
        <x:v>69288</x:v>
      </x:c>
      <x:c r="S10" s="18" t="n">
        <x:v>0.09865404</x:v>
      </x:c>
      <x:c r="T10" s="13" t="str">
        <x:v>—</x:v>
      </x:c>
      <x:c r="U10" s="13" t="str">
        <x:v>—</x:v>
      </x:c>
      <x:c r="V10" s="13" t="str">
        <x:v>—</x:v>
      </x:c>
      <x:c r="W10" s="13" t="n">
        <x:v>0</x:v>
      </x:c>
      <x:c r="X10" s="13" t="n">
        <x:v>0</x:v>
      </x:c>
      <x:c r="Y10" s="13" t="n">
        <x:v>0</x:v>
      </x:c>
      <x:c r="Z10" s="13" t="n">
        <x:v>0</x:v>
      </x:c>
      <x:c r="AA10" s="13" t="n">
        <x:v>0</x:v>
      </x:c>
      <x:c r="AB10" s="13" t="str">
        <x:v>openipf.xlsx</x:v>
      </x:c>
      <x:c r="AC10" s="13" t="str">
        <x:v>/private/tmp/vista-task004-local-3x3-20260823-03/formal-task004-local-3x3-minimaxm3-20260823-03-noskill-replicate-02-attempt-04/workspace</x:v>
      </x:c>
      <x:c r="AD10" s="13" t="str">
        <x:v>/private/tmp/vista-task004-local-3x3-20260823-03/formal-task004-local-3x3-minimaxm3-20260823-03-noskill-replicate-02-attempt-04/opencode-state/data/opencode/opencode.db</x:v>
      </x:c>
      <x:c r="AE10" s="14" t="b">
        <x:v>0</x:v>
      </x:c>
      <x:c r="AF10" s="14" t="b">
        <x:v>0</x:v>
      </x:c>
    </x:row>
    <x:row r="11">
      <x:c r="A11" s="13" t="str">
        <x:v>pd-vista-03</x:v>
      </x:c>
      <x:c r="B11" s="13" t="str">
        <x:v>pd-vista</x:v>
      </x:c>
      <x:c r="C11" s="13" t="n">
        <x:v>3</x:v>
      </x:c>
      <x:c r="D11" s="13" t="n">
        <x:v>10</x:v>
      </x:c>
      <x:c r="E11" s="13" t="str">
        <x:v>passed_without_clean_vista_feedback_loop</x:v>
      </x:c>
      <x:c r="F11" s="13" t="str">
        <x:v>verifier_pass</x:v>
      </x:c>
      <x:c r="G11" s="13" t="str">
        <x:v>minimax-cn</x:v>
      </x:c>
      <x:c r="H11" s="13" t="str">
        <x:v>MiniMax-M3</x:v>
      </x:c>
      <x:c r="I11" s="13" t="str">
        <x:v>ses_fce672c91ffeMD0d3tDMM4Ojvu</x:v>
      </x:c>
      <x:c r="J11" s="16" t="b">
        <x:v>1</x:v>
      </x:c>
      <x:c r="K11" s="17" t="n">
        <x:v>1</x:v>
      </x:c>
      <x:c r="L11" s="17" t="n">
        <x:v>0</x:v>
      </x:c>
      <x:c r="M11" s="17" t="n">
        <x:v>14</x:v>
      </x:c>
      <x:c r="N11" s="17" t="n">
        <x:v>13</x:v>
      </x:c>
      <x:c r="O11" s="17" t="n">
        <x:v>16549</x:v>
      </x:c>
      <x:c r="P11" s="17" t="n">
        <x:v>3668</x:v>
      </x:c>
      <x:c r="Q11" s="17" t="n">
        <x:v>166912</x:v>
      </x:c>
      <x:c r="R11" s="17" t="n">
        <x:f>O11+P11</x:f>
        <x:v>20217</x:v>
      </x:c>
      <x:c r="S11" s="18" t="n">
        <x:v>0.01938102</x:v>
      </x:c>
      <x:c r="T11" s="13" t="str">
        <x:v>—</x:v>
      </x:c>
      <x:c r="U11" s="13" t="str">
        <x:v>—</x:v>
      </x:c>
      <x:c r="V11" s="13" t="str">
        <x:v>—</x:v>
      </x:c>
      <x:c r="W11" s="13" t="n">
        <x:v>0</x:v>
      </x:c>
      <x:c r="X11" s="13" t="n">
        <x:v>0</x:v>
      </x:c>
      <x:c r="Y11" s="13" t="n">
        <x:v>0</x:v>
      </x:c>
      <x:c r="Z11" s="13" t="n">
        <x:v>0</x:v>
      </x:c>
      <x:c r="AA11" s="13" t="n">
        <x:v>0</x:v>
      </x:c>
      <x:c r="AB11" s="13" t="str">
        <x:v>openipf.xlsx</x:v>
      </x:c>
      <x:c r="AC11" s="13" t="str">
        <x:v>/private/tmp/vista-task004-local-3x3-20260823-03/formal-task004-local-3x3-minimaxm3-20260823-03-pd-vista-replicate-03-attempt-10/workspace</x:v>
      </x:c>
      <x:c r="AD11" s="13" t="str">
        <x:v>/private/tmp/vista-task004-local-3x3-20260823-03/formal-task004-local-3x3-minimaxm3-20260823-03-pd-vista-replicate-03-attempt-10/opencode-state/data/opencode/opencode.db</x:v>
      </x:c>
      <x:c r="AE11" s="14" t="b">
        <x:v>0</x:v>
      </x:c>
      <x:c r="AF11" s="14" t="b">
        <x:v>0</x:v>
      </x:c>
    </x:row>
    <x:row r="12">
      <x:c r="A12" s="13" t="str">
        <x:v>noskill-03</x:v>
      </x:c>
      <x:c r="B12" s="13" t="str">
        <x:v>noskill</x:v>
      </x:c>
      <x:c r="C12" s="13" t="n">
        <x:v>3</x:v>
      </x:c>
      <x:c r="D12" s="13" t="n">
        <x:v>11</x:v>
      </x:c>
      <x:c r="E12" s="13" t="str">
        <x:v>passed</x:v>
      </x:c>
      <x:c r="F12" s="13" t="str">
        <x:v>verifier_pass_after_controller_reclassification</x:v>
      </x:c>
      <x:c r="G12" s="13" t="str">
        <x:v>minimax-cn</x:v>
      </x:c>
      <x:c r="H12" s="13" t="str">
        <x:v>MiniMax-M3</x:v>
      </x:c>
      <x:c r="I12" s="13" t="str">
        <x:v>ses_fce61b317ffe78tZzkf7ukdkVB</x:v>
      </x:c>
      <x:c r="J12" s="16" t="b">
        <x:v>1</x:v>
      </x:c>
      <x:c r="K12" s="17" t="n">
        <x:v>1</x:v>
      </x:c>
      <x:c r="L12" s="17" t="n">
        <x:v>0</x:v>
      </x:c>
      <x:c r="M12" s="17" t="n">
        <x:v>36</x:v>
      </x:c>
      <x:c r="N12" s="17" t="n">
        <x:v>35</x:v>
      </x:c>
      <x:c r="O12" s="17" t="n">
        <x:v>41944</x:v>
      </x:c>
      <x:c r="P12" s="17" t="n">
        <x:v>16422</x:v>
      </x:c>
      <x:c r="Q12" s="17" t="n">
        <x:v>1011923</x:v>
      </x:c>
      <x:c r="R12" s="17" t="n">
        <x:f>O12+P12</x:f>
        <x:v>58366</x:v>
      </x:c>
      <x:c r="S12" s="18" t="n">
        <x:v>0.09300498</x:v>
      </x:c>
      <x:c r="T12" s="13" t="str">
        <x:v>—</x:v>
      </x:c>
      <x:c r="U12" s="13" t="str">
        <x:v>—</x:v>
      </x:c>
      <x:c r="V12" s="13" t="str">
        <x:v>—</x:v>
      </x:c>
      <x:c r="W12" s="13" t="n">
        <x:v>0</x:v>
      </x:c>
      <x:c r="X12" s="13" t="n">
        <x:v>0</x:v>
      </x:c>
      <x:c r="Y12" s="13" t="n">
        <x:v>0</x:v>
      </x:c>
      <x:c r="Z12" s="13" t="n">
        <x:v>0</x:v>
      </x:c>
      <x:c r="AA12" s="13" t="n">
        <x:v>0</x:v>
      </x:c>
      <x:c r="AB12" s="13" t="str">
        <x:v>openipf.xlsx</x:v>
      </x:c>
      <x:c r="AC12" s="13" t="str">
        <x:v>/private/tmp/vista-task004-local-3x3-20260823-03/formal-task004-local-3x3-minimaxm3-20260823-03-noskill-replicate-03-attempt-11/workspace</x:v>
      </x:c>
      <x:c r="AD12" s="13" t="str">
        <x:v>/private/tmp/vista-task004-local-3x3-20260823-03/formal-task004-local-3x3-minimaxm3-20260823-03-noskill-replicate-03-attempt-11/opencode-state/data/opencode/opencode.db</x:v>
      </x:c>
      <x:c r="AE12" s="14" t="b">
        <x:v>0</x:v>
      </x:c>
      <x:c r="AF12" s="14" t="b">
        <x:v>0</x:v>
      </x:c>
    </x:row>
    <x:row r="13">
      <x:c r="A13" s="13" t="str">
        <x:v>native-03</x:v>
      </x:c>
      <x:c r="B13" s="13" t="str">
        <x:v>native</x:v>
      </x:c>
      <x:c r="C13" s="13" t="n">
        <x:v>3</x:v>
      </x:c>
      <x:c r="D13" s="13" t="n">
        <x:v>9</x:v>
      </x:c>
      <x:c r="E13" s="13" t="str">
        <x:v>passed</x:v>
      </x:c>
      <x:c r="F13" s="13" t="str">
        <x:v>verifier_pass_after_model_timeout</x:v>
      </x:c>
      <x:c r="G13" s="13" t="str">
        <x:v>minimax-cn</x:v>
      </x:c>
      <x:c r="H13" s="13" t="str">
        <x:v>MiniMax-M3</x:v>
      </x:c>
      <x:c r="I13" s="13" t="str">
        <x:v>ses_fce6e8b46ffeYPLZgTKM1QGXlG</x:v>
      </x:c>
      <x:c r="J13" s="16" t="b">
        <x:v>1</x:v>
      </x:c>
      <x:c r="K13" s="17" t="n">
        <x:v>1</x:v>
      </x:c>
      <x:c r="L13" s="17" t="n">
        <x:v>1</x:v>
      </x:c>
      <x:c r="M13" s="17" t="n">
        <x:v>16</x:v>
      </x:c>
      <x:c r="N13" s="17" t="n">
        <x:v>15</x:v>
      </x:c>
      <x:c r="O13" s="17" t="n">
        <x:v>32698</x:v>
      </x:c>
      <x:c r="P13" s="17" t="n">
        <x:v>4455</x:v>
      </x:c>
      <x:c r="Q13" s="17" t="n">
        <x:v>247808</x:v>
      </x:c>
      <x:c r="R13" s="17" t="n">
        <x:f>O13+P13</x:f>
        <x:v>37153</x:v>
      </x:c>
      <x:c r="S13" s="18" t="n">
        <x:v>0.03002388</x:v>
      </x:c>
      <x:c r="T13" s="13" t="str">
        <x:v>powerlifting、senior-data-scientist、xlsx</x:v>
      </x:c>
      <x:c r="U13" s="13" t="str">
        <x:v>—</x:v>
      </x:c>
      <x:c r="V13" s="13" t="str">
        <x:v>—</x:v>
      </x:c>
      <x:c r="W13" s="13" t="n">
        <x:v>0</x:v>
      </x:c>
      <x:c r="X13" s="13" t="n">
        <x:v>0</x:v>
      </x:c>
      <x:c r="Y13" s="13" t="n">
        <x:v>0</x:v>
      </x:c>
      <x:c r="Z13" s="13" t="n">
        <x:v>0</x:v>
      </x:c>
      <x:c r="AA13" s="13" t="n">
        <x:v>0</x:v>
      </x:c>
      <x:c r="AB13" s="13" t="str">
        <x:v>openipf.xlsx</x:v>
      </x:c>
      <x:c r="AC13" s="13" t="str">
        <x:v>/private/tmp/vista-task004-local-3x3-20260823-03/formal-task004-local-3x3-minimaxm3-20260823-03-native-replicate-03-attempt-09/workspace</x:v>
      </x:c>
      <x:c r="AD13" s="13" t="str">
        <x:v>/private/tmp/vista-task004-local-3x3-20260823-03/formal-task004-local-3x3-minimaxm3-20260823-03-native-replicate-03-attempt-09/opencode-state/data/opencode/opencode.db</x:v>
      </x:c>
      <x:c r="AE13" s="14" t="b">
        <x:v>0</x:v>
      </x:c>
      <x:c r="AF13" s="14" t="b">
        <x:v>0</x:v>
      </x:c>
    </x:row>
  </x:sheetData>
  <x:mergeCells>
    <x:mergeCell ref="A1:AF1"/>
  </x:mergeCells>
  <x:pageMargins left="0.7" right="0.7" top="0.75" bottom="0.75" header="0.3" footer="0.3"/>
  <x:tableParts count="1">
    <x:tablePart xmlns:r="http://schemas.openxmlformats.org/officeDocument/2006/relationships" r:id="R2932ea6822c14a4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0" hidden="0" customWidth="1"/>
    <x:col min="4" max="4" width="12" hidden="0" customWidth="1"/>
    <x:col min="5" max="5" width="12" hidden="0" customWidth="1"/>
    <x:col min="6" max="6" width="14" hidden="0" customWidth="1"/>
    <x:col min="7" max="7" width="14" hidden="0" customWidth="1"/>
    <x:col min="8" max="8" width="16" hidden="0" customWidth="1"/>
    <x:col min="9" max="9" width="16" hidden="0" customWidth="1"/>
    <x:col min="10" max="10" width="16" hidden="0" customWidth="1"/>
  </x:cols>
  <x:sheetData>
    <x:row r="1" ht="28" customHeight="1">
      <x:c r="A1" s="3" t="str">
        <x:v>Token 与成本（公式汇总）</x:v>
      </x:c>
      <x:c r="B1" s="3" t="str">
        <x:v>Token 与成本（公式汇总）</x:v>
      </x:c>
      <x:c r="C1" s="3" t="str">
        <x:v>Token 与成本（公式汇总）</x:v>
      </x:c>
      <x:c r="D1" s="3" t="str">
        <x:v>Token 与成本（公式汇总）</x:v>
      </x:c>
      <x:c r="E1" s="3" t="str">
        <x:v>Token 与成本（公式汇总）</x:v>
      </x:c>
      <x:c r="F1" s="3" t="str">
        <x:v>Token 与成本（公式汇总）</x:v>
      </x:c>
      <x:c r="G1" s="3" t="str">
        <x:v>Token 与成本（公式汇总）</x:v>
      </x:c>
      <x:c r="H1" s="3" t="str">
        <x:v>Token 与成本（公式汇总）</x:v>
      </x:c>
      <x:c r="I1" s="3" t="str">
        <x:v>Token 与成本（公式汇总）</x:v>
      </x:c>
      <x:c r="J1" s="3" t="str">
        <x:v>Token 与成本（公式汇总）</x:v>
      </x:c>
    </x:row>
    <x:row r="3" ht="22" customHeight="1">
      <x:c r="A3" s="24" t="str">
        <x:v>逐组使用量与费用</x:v>
      </x:c>
      <x:c r="B3" s="24" t="str">
        <x:v>逐组使用量与费用</x:v>
      </x:c>
      <x:c r="C3" s="24" t="str">
        <x:v>逐组使用量与费用</x:v>
      </x:c>
      <x:c r="D3" s="24" t="str">
        <x:v>逐组使用量与费用</x:v>
      </x:c>
      <x:c r="E3" s="24" t="str">
        <x:v>逐组使用量与费用</x:v>
      </x:c>
      <x:c r="F3" s="24" t="str">
        <x:v>逐组使用量与费用</x:v>
      </x:c>
      <x:c r="G3" s="24" t="str">
        <x:v>逐组使用量与费用</x:v>
      </x:c>
      <x:c r="H3" s="24" t="str">
        <x:v>逐组使用量与费用</x:v>
      </x:c>
      <x:c r="I3" s="24" t="str">
        <x:v>逐组使用量与费用</x:v>
      </x:c>
      <x:c r="J3" s="24" t="str">
        <x:v>逐组使用量与费用</x:v>
      </x:c>
    </x:row>
    <x:row r="4">
      <x:c r="A4" s="7" t="str">
        <x:v>组ID</x:v>
      </x:c>
      <x:c r="B4" s="7" t="str">
        <x:v>条件</x:v>
      </x:c>
      <x:c r="C4" s="7" t="str">
        <x:v>重复</x:v>
      </x:c>
      <x:c r="D4" s="7" t="str">
        <x:v>请求数</x:v>
      </x:c>
      <x:c r="E4" s="7" t="str">
        <x:v>工具调用</x:v>
      </x:c>
      <x:c r="F4" s="7" t="str">
        <x:v>输入 Token</x:v>
      </x:c>
      <x:c r="G4" s="7" t="str">
        <x:v>输出 Token</x:v>
      </x:c>
      <x:c r="H4" s="7" t="str">
        <x:v>缓存读取 Token</x:v>
      </x:c>
      <x:c r="I4" s="7" t="str">
        <x:v>输入+输出 Token</x:v>
      </x:c>
      <x:c r="J4" s="7" t="str">
        <x:v>DB 记录费用</x:v>
      </x:c>
    </x:row>
    <x:row r="5">
      <x:c r="A5" s="19" t="str">
        <x:f>'9组明细'!A5</x:f>
        <x:v>noskill-01</x:v>
      </x:c>
      <x:c r="B5" s="19" t="str">
        <x:f>'9组明细'!B5</x:f>
        <x:v>noskill</x:v>
      </x:c>
      <x:c r="C5" s="19" t="n">
        <x:f>'9组明细'!C5</x:f>
        <x:v>1</x:v>
      </x:c>
      <x:c r="D5" s="26" t="n">
        <x:f>'9组明细'!M5</x:f>
        <x:v>36</x:v>
      </x:c>
      <x:c r="E5" s="26" t="n">
        <x:f>'9组明细'!N5</x:f>
        <x:v>35</x:v>
      </x:c>
      <x:c r="F5" s="26" t="n">
        <x:f>'9组明细'!O5</x:f>
        <x:v>43934</x:v>
      </x:c>
      <x:c r="G5" s="26" t="n">
        <x:f>'9组明细'!P5</x:f>
        <x:v>20185</x:v>
      </x:c>
      <x:c r="H5" s="26" t="n">
        <x:f>'9组明细'!Q5</x:f>
        <x:v>987889</x:v>
      </x:c>
      <x:c r="I5" s="26" t="n">
        <x:f>'9组明细'!R5</x:f>
        <x:v>64119</x:v>
      </x:c>
      <x:c r="J5" s="27" t="n">
        <x:f>'9组明细'!S5</x:f>
        <x:v>0.09667554</x:v>
      </x:c>
    </x:row>
    <x:row r="6">
      <x:c r="A6" s="19" t="str">
        <x:f>'9组明细'!A6</x:f>
        <x:v>native-01</x:v>
      </x:c>
      <x:c r="B6" s="19" t="str">
        <x:f>'9组明细'!B6</x:f>
        <x:v>native</x:v>
      </x:c>
      <x:c r="C6" s="19" t="n">
        <x:f>'9组明细'!C6</x:f>
        <x:v>1</x:v>
      </x:c>
      <x:c r="D6" s="26" t="n">
        <x:f>'9组明细'!M6</x:f>
        <x:v>25</x:v>
      </x:c>
      <x:c r="E6" s="26" t="n">
        <x:f>'9组明细'!N6</x:f>
        <x:v>24</x:v>
      </x:c>
      <x:c r="F6" s="26" t="n">
        <x:f>'9组明细'!O6</x:f>
        <x:v>30177</x:v>
      </x:c>
      <x:c r="G6" s="26" t="n">
        <x:f>'9组明细'!P6</x:f>
        <x:v>5045</x:v>
      </x:c>
      <x:c r="H6" s="26" t="n">
        <x:f>'9组明细'!Q6</x:f>
        <x:v>525564</x:v>
      </x:c>
      <x:c r="I6" s="26" t="n">
        <x:f>'9组明细'!R6</x:f>
        <x:v>35222</x:v>
      </x:c>
      <x:c r="J6" s="27" t="n">
        <x:f>'9组明细'!S6</x:f>
        <x:v>0.04664094</x:v>
      </x:c>
    </x:row>
    <x:row r="7">
      <x:c r="A7" s="19" t="str">
        <x:f>'9组明细'!A7</x:f>
        <x:v>pd-vista-01</x:v>
      </x:c>
      <x:c r="B7" s="19" t="str">
        <x:f>'9组明细'!B7</x:f>
        <x:v>pd-vista</x:v>
      </x:c>
      <x:c r="C7" s="19" t="n">
        <x:f>'9组明细'!C7</x:f>
        <x:v>1</x:v>
      </x:c>
      <x:c r="D7" s="26" t="n">
        <x:f>'9组明细'!M7</x:f>
        <x:v>29</x:v>
      </x:c>
      <x:c r="E7" s="26" t="n">
        <x:f>'9组明细'!N7</x:f>
        <x:v>28</x:v>
      </x:c>
      <x:c r="F7" s="26" t="n">
        <x:f>'9组明细'!O7</x:f>
        <x:v>48066</x:v>
      </x:c>
      <x:c r="G7" s="26" t="n">
        <x:f>'9组明细'!P7</x:f>
        <x:v>28295</x:v>
      </x:c>
      <x:c r="H7" s="26" t="n">
        <x:f>'9组明细'!Q7</x:f>
        <x:v>799967</x:v>
      </x:c>
      <x:c r="I7" s="26" t="n">
        <x:f>'9组明细'!R7</x:f>
        <x:v>76361</x:v>
      </x:c>
      <x:c r="J7" s="27" t="n">
        <x:f>'9组明细'!S7</x:f>
        <x:v>0.09637182</x:v>
      </x:c>
    </x:row>
    <x:row r="8">
      <x:c r="A8" s="19" t="str">
        <x:f>'9组明细'!A8</x:f>
        <x:v>native-02</x:v>
      </x:c>
      <x:c r="B8" s="19" t="str">
        <x:f>'9组明细'!B8</x:f>
        <x:v>native</x:v>
      </x:c>
      <x:c r="C8" s="19" t="n">
        <x:f>'9组明细'!C8</x:f>
        <x:v>2</x:v>
      </x:c>
      <x:c r="D8" s="26" t="n">
        <x:f>'9组明细'!M8</x:f>
        <x:v>34</x:v>
      </x:c>
      <x:c r="E8" s="26" t="n">
        <x:f>'9组明细'!N8</x:f>
        <x:v>33</x:v>
      </x:c>
      <x:c r="F8" s="26" t="n">
        <x:f>'9组明细'!O8</x:f>
        <x:v>45374</x:v>
      </x:c>
      <x:c r="G8" s="26" t="n">
        <x:f>'9组明细'!P8</x:f>
        <x:v>11180</x:v>
      </x:c>
      <x:c r="H8" s="26" t="n">
        <x:f>'9组明细'!Q8</x:f>
        <x:v>950528</x:v>
      </x:c>
      <x:c r="I8" s="26" t="n">
        <x:f>'9组明细'!R8</x:f>
        <x:v>56554</x:v>
      </x:c>
      <x:c r="J8" s="27" t="n">
        <x:f>'9组明细'!S8</x:f>
        <x:v>0.08405988</x:v>
      </x:c>
    </x:row>
    <x:row r="9">
      <x:c r="A9" s="19" t="str">
        <x:f>'9组明细'!A9</x:f>
        <x:v>pd-vista-02</x:v>
      </x:c>
      <x:c r="B9" s="19" t="str">
        <x:f>'9组明细'!B9</x:f>
        <x:v>pd-vista</x:v>
      </x:c>
      <x:c r="C9" s="19" t="n">
        <x:f>'9组明细'!C9</x:f>
        <x:v>2</x:v>
      </x:c>
      <x:c r="D9" s="26" t="n">
        <x:f>'9组明细'!M9</x:f>
        <x:v>25</x:v>
      </x:c>
      <x:c r="E9" s="26" t="n">
        <x:f>'9组明细'!N9</x:f>
        <x:v>23</x:v>
      </x:c>
      <x:c r="F9" s="26" t="n">
        <x:f>'9组明细'!O9</x:f>
        <x:v>34953</x:v>
      </x:c>
      <x:c r="G9" s="26" t="n">
        <x:f>'9组明细'!P9</x:f>
        <x:v>42021</x:v>
      </x:c>
      <x:c r="H9" s="26" t="n">
        <x:f>'9组明细'!Q9</x:f>
        <x:v>556985</x:v>
      </x:c>
      <x:c r="I9" s="26" t="n">
        <x:f>'9组明细'!R9</x:f>
        <x:v>76974</x:v>
      </x:c>
      <x:c r="J9" s="27" t="n">
        <x:f>'9组明细'!S9</x:f>
        <x:v>0.0943302</x:v>
      </x:c>
    </x:row>
    <x:row r="10">
      <x:c r="A10" s="19" t="str">
        <x:f>'9组明细'!A10</x:f>
        <x:v>noskill-02</x:v>
      </x:c>
      <x:c r="B10" s="19" t="str">
        <x:f>'9组明细'!B10</x:f>
        <x:v>noskill</x:v>
      </x:c>
      <x:c r="C10" s="19" t="n">
        <x:f>'9组明细'!C10</x:f>
        <x:v>2</x:v>
      </x:c>
      <x:c r="D10" s="26" t="n">
        <x:f>'9组明细'!M10</x:f>
        <x:v>31</x:v>
      </x:c>
      <x:c r="E10" s="26" t="n">
        <x:f>'9组明细'!N10</x:f>
        <x:v>30</x:v>
      </x:c>
      <x:c r="F10" s="26" t="n">
        <x:f>'9组明细'!O10</x:f>
        <x:v>59814</x:v>
      </x:c>
      <x:c r="G10" s="26" t="n">
        <x:f>'9组明细'!P10</x:f>
        <x:v>9474</x:v>
      </x:c>
      <x:c r="H10" s="26" t="n">
        <x:f>'9组明细'!Q10</x:f>
        <x:v>1155684</x:v>
      </x:c>
      <x:c r="I10" s="26" t="n">
        <x:f>'9组明细'!R10</x:f>
        <x:v>69288</x:v>
      </x:c>
      <x:c r="J10" s="27" t="n">
        <x:f>'9组明细'!S10</x:f>
        <x:v>0.09865404</x:v>
      </x:c>
    </x:row>
    <x:row r="11">
      <x:c r="A11" s="19" t="str">
        <x:f>'9组明细'!A11</x:f>
        <x:v>pd-vista-03</x:v>
      </x:c>
      <x:c r="B11" s="19" t="str">
        <x:f>'9组明细'!B11</x:f>
        <x:v>pd-vista</x:v>
      </x:c>
      <x:c r="C11" s="19" t="n">
        <x:f>'9组明细'!C11</x:f>
        <x:v>3</x:v>
      </x:c>
      <x:c r="D11" s="26" t="n">
        <x:f>'9组明细'!M11</x:f>
        <x:v>14</x:v>
      </x:c>
      <x:c r="E11" s="26" t="n">
        <x:f>'9组明细'!N11</x:f>
        <x:v>13</x:v>
      </x:c>
      <x:c r="F11" s="26" t="n">
        <x:f>'9组明细'!O11</x:f>
        <x:v>16549</x:v>
      </x:c>
      <x:c r="G11" s="26" t="n">
        <x:f>'9组明细'!P11</x:f>
        <x:v>3668</x:v>
      </x:c>
      <x:c r="H11" s="26" t="n">
        <x:f>'9组明细'!Q11</x:f>
        <x:v>166912</x:v>
      </x:c>
      <x:c r="I11" s="26" t="n">
        <x:f>'9组明细'!R11</x:f>
        <x:v>20217</x:v>
      </x:c>
      <x:c r="J11" s="27" t="n">
        <x:f>'9组明细'!S11</x:f>
        <x:v>0.01938102</x:v>
      </x:c>
    </x:row>
    <x:row r="12">
      <x:c r="A12" s="19" t="str">
        <x:f>'9组明细'!A12</x:f>
        <x:v>noskill-03</x:v>
      </x:c>
      <x:c r="B12" s="19" t="str">
        <x:f>'9组明细'!B12</x:f>
        <x:v>noskill</x:v>
      </x:c>
      <x:c r="C12" s="19" t="n">
        <x:f>'9组明细'!C12</x:f>
        <x:v>3</x:v>
      </x:c>
      <x:c r="D12" s="26" t="n">
        <x:f>'9组明细'!M12</x:f>
        <x:v>36</x:v>
      </x:c>
      <x:c r="E12" s="26" t="n">
        <x:f>'9组明细'!N12</x:f>
        <x:v>35</x:v>
      </x:c>
      <x:c r="F12" s="26" t="n">
        <x:f>'9组明细'!O12</x:f>
        <x:v>41944</x:v>
      </x:c>
      <x:c r="G12" s="26" t="n">
        <x:f>'9组明细'!P12</x:f>
        <x:v>16422</x:v>
      </x:c>
      <x:c r="H12" s="26" t="n">
        <x:f>'9组明细'!Q12</x:f>
        <x:v>1011923</x:v>
      </x:c>
      <x:c r="I12" s="26" t="n">
        <x:f>'9组明细'!R12</x:f>
        <x:v>58366</x:v>
      </x:c>
      <x:c r="J12" s="27" t="n">
        <x:f>'9组明细'!S12</x:f>
        <x:v>0.09300498</x:v>
      </x:c>
    </x:row>
    <x:row r="13">
      <x:c r="A13" s="19" t="str">
        <x:f>'9组明细'!A13</x:f>
        <x:v>native-03</x:v>
      </x:c>
      <x:c r="B13" s="19" t="str">
        <x:f>'9组明细'!B13</x:f>
        <x:v>native</x:v>
      </x:c>
      <x:c r="C13" s="19" t="n">
        <x:f>'9组明细'!C13</x:f>
        <x:v>3</x:v>
      </x:c>
      <x:c r="D13" s="26" t="n">
        <x:f>'9组明细'!M13</x:f>
        <x:v>16</x:v>
      </x:c>
      <x:c r="E13" s="26" t="n">
        <x:f>'9组明细'!N13</x:f>
        <x:v>15</x:v>
      </x:c>
      <x:c r="F13" s="26" t="n">
        <x:f>'9组明细'!O13</x:f>
        <x:v>32698</x:v>
      </x:c>
      <x:c r="G13" s="26" t="n">
        <x:f>'9组明细'!P13</x:f>
        <x:v>4455</x:v>
      </x:c>
      <x:c r="H13" s="26" t="n">
        <x:f>'9组明细'!Q13</x:f>
        <x:v>247808</x:v>
      </x:c>
      <x:c r="I13" s="26" t="n">
        <x:f>'9组明细'!R13</x:f>
        <x:v>37153</x:v>
      </x:c>
      <x:c r="J13" s="27" t="n">
        <x:f>'9组明细'!S13</x:f>
        <x:v>0.03002388</x:v>
      </x:c>
    </x:row>
    <x:row r="16" ht="22" customHeight="1">
      <x:c r="A16" s="24" t="str">
        <x:v>条件汇总</x:v>
      </x:c>
      <x:c r="B16" s="24" t="str">
        <x:v>条件汇总</x:v>
      </x:c>
      <x:c r="C16" s="24" t="str">
        <x:v>条件汇总</x:v>
      </x:c>
      <x:c r="D16" s="24" t="str">
        <x:v>条件汇总</x:v>
      </x:c>
      <x:c r="E16" s="24" t="str">
        <x:v>条件汇总</x:v>
      </x:c>
      <x:c r="F16" s="24" t="str">
        <x:v>条件汇总</x:v>
      </x:c>
      <x:c r="G16" s="24" t="str">
        <x:v>条件汇总</x:v>
      </x:c>
      <x:c r="H16" s="24" t="str">
        <x:v>条件汇总</x:v>
      </x:c>
      <x:c r="I16" s="24" t="str">
        <x:v>条件汇总</x:v>
      </x:c>
      <x:c r="J16" s="24" t="str">
        <x:v>条件汇总</x:v>
      </x:c>
    </x:row>
    <x:row r="17">
      <x:c r="A17" s="7" t="str">
        <x:v>条件</x:v>
      </x:c>
      <x:c r="B17" s="7" t="str">
        <x:v>试验数</x:v>
      </x:c>
      <x:c r="C17" s="7" t="str">
        <x:v>请求数</x:v>
      </x:c>
      <x:c r="D17" s="7" t="str">
        <x:v>工具调用</x:v>
      </x:c>
      <x:c r="E17" s="7" t="str">
        <x:v>输入 Token</x:v>
      </x:c>
      <x:c r="F17" s="7" t="str">
        <x:v>输出 Token</x:v>
      </x:c>
      <x:c r="G17" s="7" t="str">
        <x:v>缓存读取 Token</x:v>
      </x:c>
      <x:c r="H17" s="7" t="str">
        <x:v>输入+输出 Token</x:v>
      </x:c>
      <x:c r="I17" s="7" t="str">
        <x:v>DB 记录费用</x:v>
      </x:c>
      <x:c r="J17" s="7" t="str">
        <x:v>每组平均费用</x:v>
      </x:c>
    </x:row>
    <x:row r="18">
      <x:c r="A18" s="19" t="str">
        <x:v>noskill</x:v>
      </x:c>
      <x:c r="B18" s="19" t="n">
        <x:f>COUNTIF($B$5:$B$13,A18)</x:f>
        <x:v>3</x:v>
      </x:c>
      <x:c r="C18" s="26" t="n">
        <x:f>SUMIF($B$5:$B$13,A18,$D$5:$D$13)</x:f>
        <x:v>103</x:v>
      </x:c>
      <x:c r="D18" s="26" t="n">
        <x:f>SUMIF($B$5:$B$13,A18,$E$5:$E$13)</x:f>
        <x:v>100</x:v>
      </x:c>
      <x:c r="E18" s="26" t="n">
        <x:f>SUMIF($B$5:$B$13,A18,$F$5:$F$13)</x:f>
        <x:v>145692</x:v>
      </x:c>
      <x:c r="F18" s="26" t="n">
        <x:f>SUMIF($B$5:$B$13,A18,$G$5:$G$13)</x:f>
        <x:v>46081</x:v>
      </x:c>
      <x:c r="G18" s="26" t="n">
        <x:f>SUMIF($B$5:$B$13,A18,$H$5:$H$13)</x:f>
        <x:v>3155496</x:v>
      </x:c>
      <x:c r="H18" s="26" t="n">
        <x:f>SUMIF($B$5:$B$13,A18,$I$5:$I$13)</x:f>
        <x:v>191773</x:v>
      </x:c>
      <x:c r="I18" s="26" t="n">
        <x:f>SUMIF($B$5:$B$13,A18,$J$5:$J$13)</x:f>
        <x:v>0.28833456</x:v>
      </x:c>
      <x:c r="J18" s="27" t="n">
        <x:f>I18/B18</x:f>
        <x:v>0.09611152</x:v>
      </x:c>
    </x:row>
    <x:row r="19">
      <x:c r="A19" s="19" t="str">
        <x:v>native</x:v>
      </x:c>
      <x:c r="B19" s="19" t="n">
        <x:f>COUNTIF($B$5:$B$13,A19)</x:f>
        <x:v>3</x:v>
      </x:c>
      <x:c r="C19" s="26" t="n">
        <x:f>SUMIF($B$5:$B$13,A19,$D$5:$D$13)</x:f>
        <x:v>75</x:v>
      </x:c>
      <x:c r="D19" s="26" t="n">
        <x:f>SUMIF($B$5:$B$13,A19,$E$5:$E$13)</x:f>
        <x:v>72</x:v>
      </x:c>
      <x:c r="E19" s="26" t="n">
        <x:f>SUMIF($B$5:$B$13,A19,$F$5:$F$13)</x:f>
        <x:v>108249</x:v>
      </x:c>
      <x:c r="F19" s="26" t="n">
        <x:f>SUMIF($B$5:$B$13,A19,$G$5:$G$13)</x:f>
        <x:v>20680</x:v>
      </x:c>
      <x:c r="G19" s="26" t="n">
        <x:f>SUMIF($B$5:$B$13,A19,$H$5:$H$13)</x:f>
        <x:v>1723900</x:v>
      </x:c>
      <x:c r="H19" s="26" t="n">
        <x:f>SUMIF($B$5:$B$13,A19,$I$5:$I$13)</x:f>
        <x:v>128929</x:v>
      </x:c>
      <x:c r="I19" s="26" t="n">
        <x:f>SUMIF($B$5:$B$13,A19,$J$5:$J$13)</x:f>
        <x:v>0.1607247</x:v>
      </x:c>
      <x:c r="J19" s="27" t="n">
        <x:f>I19/B19</x:f>
        <x:v>0.0535749</x:v>
      </x:c>
    </x:row>
    <x:row r="20">
      <x:c r="A20" s="19" t="str">
        <x:v>pd-vista</x:v>
      </x:c>
      <x:c r="B20" s="19" t="n">
        <x:f>COUNTIF($B$5:$B$13,A20)</x:f>
        <x:v>3</x:v>
      </x:c>
      <x:c r="C20" s="26" t="n">
        <x:f>SUMIF($B$5:$B$13,A20,$D$5:$D$13)</x:f>
        <x:v>68</x:v>
      </x:c>
      <x:c r="D20" s="26" t="n">
        <x:f>SUMIF($B$5:$B$13,A20,$E$5:$E$13)</x:f>
        <x:v>64</x:v>
      </x:c>
      <x:c r="E20" s="26" t="n">
        <x:f>SUMIF($B$5:$B$13,A20,$F$5:$F$13)</x:f>
        <x:v>99568</x:v>
      </x:c>
      <x:c r="F20" s="26" t="n">
        <x:f>SUMIF($B$5:$B$13,A20,$G$5:$G$13)</x:f>
        <x:v>73984</x:v>
      </x:c>
      <x:c r="G20" s="26" t="n">
        <x:f>SUMIF($B$5:$B$13,A20,$H$5:$H$13)</x:f>
        <x:v>1523864</x:v>
      </x:c>
      <x:c r="H20" s="26" t="n">
        <x:f>SUMIF($B$5:$B$13,A20,$I$5:$I$13)</x:f>
        <x:v>173552</x:v>
      </x:c>
      <x:c r="I20" s="26" t="n">
        <x:f>SUMIF($B$5:$B$13,A20,$J$5:$J$13)</x:f>
        <x:v>0.21008304</x:v>
      </x:c>
      <x:c r="J20" s="27" t="n">
        <x:f>I20/B20</x:f>
        <x:v>0.07002768</x:v>
      </x:c>
    </x:row>
  </x:sheetData>
  <x:mergeCells>
    <x:mergeCell ref="A1:J1"/>
    <x:mergeCell ref="A3:J3"/>
    <x:mergeCell ref="A16:J16"/>
  </x:mergeCells>
  <x:pageMargins left="0.7" right="0.7" top="0.75" bottom="0.75" header="0.3" footer="0.3"/>
  <x:tableParts count="1">
    <x:tablePart xmlns:r="http://schemas.openxmlformats.org/officeDocument/2006/relationships" r:id="R84b5cf934c0d47d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44" hidden="0" customWidth="1"/>
    <x:col min="4" max="4" width="34" hidden="0" customWidth="1"/>
    <x:col min="5" max="5" width="30" hidden="0" customWidth="1"/>
    <x:col min="6" max="6" width="42" hidden="0" customWidth="1"/>
  </x:cols>
  <x:sheetData>
    <x:row r="1" ht="28" customHeight="1">
      <x:c r="A1" s="3" t="str">
        <x:v>方法与流程与排除规则</x:v>
      </x:c>
      <x:c r="B1" s="3" t="str">
        <x:v>方法与流程与排除规则</x:v>
      </x:c>
      <x:c r="C1" s="3" t="str">
        <x:v>方法与流程与排除规则</x:v>
      </x:c>
      <x:c r="D1" s="3" t="str">
        <x:v>方法与流程与排除规则</x:v>
      </x:c>
      <x:c r="E1" s="3" t="str">
        <x:v>方法与流程与排除规则</x:v>
      </x:c>
      <x:c r="F1" s="3" t="str">
        <x:v>方法与流程与排除规则</x:v>
      </x:c>
    </x:row>
    <x:row r="3" ht="22" customHeight="1">
      <x:c r="A3" s="24" t="str">
        <x:v>正式实验协议</x:v>
      </x:c>
      <x:c r="B3" s="24" t="str">
        <x:v>正式实验协议</x:v>
      </x:c>
      <x:c r="C3" s="24" t="str">
        <x:v>正式实验协议</x:v>
      </x:c>
      <x:c r="D3" s="24" t="str">
        <x:v>正式实验协议</x:v>
      </x:c>
      <x:c r="E3" s="24" t="str">
        <x:v>正式实验协议</x:v>
      </x:c>
      <x:c r="F3" s="24" t="str">
        <x:v>正式实验协议</x:v>
      </x:c>
    </x:row>
    <x:row r="4">
      <x:c r="A4" s="7" t="str">
        <x:v>步骤</x:v>
      </x:c>
      <x:c r="B4" s="7" t="str">
        <x:v>协议</x:v>
      </x:c>
      <x:c r="C4" s="7" t="str">
        <x:v>task4 实施</x:v>
      </x:c>
      <x:c r="D4" s="7" t="str">
        <x:v>审计证据</x:v>
      </x:c>
      <x:c r="E4" s="7" t="str">
        <x:v>是否计入正式统计</x:v>
      </x:c>
      <x:c r="F4" s="7" t="str">
        <x:v>中文说明</x:v>
      </x:c>
    </x:row>
    <x:row r="5">
      <x:c r="A5" s="13" t="str">
        <x:v>1</x:v>
      </x:c>
      <x:c r="B5" s="13" t="str">
        <x:v>独立确认任务身份</x:v>
      </x:c>
      <x:c r="C5" s="13" t="str">
        <x:v>task-004 / powerlifting-coef-calc</x:v>
      </x:c>
      <x:c r="D5" s="13" t="str">
        <x:v>tasks/pilot/task-004/task.yaml</x:v>
      </x:c>
      <x:c r="E5" s="13" t="str">
        <x:v>是</x:v>
      </x:c>
      <x:c r="F5" s="13" t="str">
        <x:v>确认任务定义、源数据、Verifier 与 Skill 路径一致。</x:v>
      </x:c>
    </x:row>
    <x:row r="6">
      <x:c r="A6" s="13" t="str">
        <x:v>2</x:v>
      </x:c>
      <x:c r="B6" s="13" t="str">
        <x:v>Ready 依赖与完整 Verifier</x:v>
      </x:c>
      <x:c r="C6" s="13" t="str">
        <x:v>最小依赖 + 11 项收集 + 11/11 探针</x:v>
      </x:c>
      <x:c r="D6" s="13" t="str">
        <x:v>00-readiness/readiness.json</x:v>
      </x:c>
      <x:c r="E6" s="13" t="str">
        <x:v>是</x:v>
      </x:c>
      <x:c r="F6" s="13" t="str">
        <x:v>先用本地探针验证公开入口与完整 Verifier。</x:v>
      </x:c>
    </x:row>
    <x:row r="7">
      <x:c r="A7" s="13" t="str">
        <x:v>3</x:v>
      </x:c>
      <x:c r="B7" s="13" t="str">
        <x:v>条件</x:v>
      </x:c>
      <x:c r="C7" s="13" t="str">
        <x:v>No-Skill / Native / PD-VISTA，各 3 重复</x:v>
      </x:c>
      <x:c r="D7" s="13" t="str">
        <x:v>9组明细</x:v>
      </x:c>
      <x:c r="E7" s="13" t="str">
        <x:v>是</x:v>
      </x:c>
      <x:c r="F7" s="13" t="str">
        <x:v>每组独立 workspace、Verifier、OpenCode 状态与 session。</x:v>
      </x:c>
    </x:row>
    <x:row r="8">
      <x:c r="A8" s="13" t="str">
        <x:v>4</x:v>
      </x:c>
      <x:c r="B8" s="13" t="str">
        <x:v>平衡交错</x:v>
      </x:c>
      <x:c r="C8" s="13" t="str">
        <x:v>1N-1Native-1PDV-2Native-2PDV-2N-3PDV-3N-3Native</x:v>
      </x:c>
      <x:c r="D8" s="13" t="str">
        <x:v>group-summary.schedule</x:v>
      </x:c>
      <x:c r="E8" s="13" t="str">
        <x:v>是</x:v>
      </x:c>
      <x:c r="F8" s="13" t="str">
        <x:v>沿用 task1 已验证的平衡顺序。</x:v>
      </x:c>
    </x:row>
    <x:row r="9">
      <x:c r="A9" s="13" t="str">
        <x:v>5</x:v>
      </x:c>
      <x:c r="B9" s="13" t="str">
        <x:v>公开诊断</x:v>
      </x:c>
      <x:c r="C9" s="13" t="str">
        <x:v>只保留缺失/结构/公式/计算失败的安全摘要</x:v>
      </x:c>
      <x:c r="D9" s="13" t="str">
        <x:v>turn-N verifier 文本 + next_round_prompt</x:v>
      </x:c>
      <x:c r="E9" s="13" t="str">
        <x:v>是</x:v>
      </x:c>
      <x:c r="F9" s="13" t="str">
        <x:v>不向模型泄露 ground truth 具体数值。</x:v>
      </x:c>
    </x:row>
    <x:row r="10">
      <x:c r="A10" s="13" t="str">
        <x:v>6</x:v>
      </x:c>
      <x:c r="B10" s="13" t="str">
        <x:v>超时容错</x:v>
      </x:c>
      <x:c r="C10" s="13" t="str">
        <x:v>420 秒单轮、6 轮；先验收已落盘文件</x:v>
      </x:c>
      <x:c r="D10" s="13" t="str">
        <x:v>model_turn_timeout + verifier_pass</x:v>
      </x:c>
      <x:c r="E10" s="13" t="str">
        <x:v>是</x:v>
      </x:c>
      <x:c r="F10" s="13" t="str">
        <x:v>写入完成但收尾卡住时仍验收；失败则同 session 修复。</x:v>
      </x:c>
    </x:row>
    <x:row r="11">
      <x:c r="A11" s="13" t="str">
        <x:v>7</x:v>
      </x:c>
      <x:c r="B11" s="13" t="str">
        <x:v>429/零请求限流</x:v>
      </x:c>
      <x:c r="C11" s="13" t="str">
        <x:v>attempt 隔离、同条件新 session 串行补跑</x:v>
      </x:c>
      <x:c r="D11" s="13" t="str">
        <x:v>excluded_attempts</x:v>
      </x:c>
      <x:c r="E11" s="13" t="str">
        <x:v>否</x:v>
      </x:c>
      <x:c r="F11" s="13" t="str">
        <x:v>限流不计任务失败；不混入有效组 Token/费用。</x:v>
      </x:c>
    </x:row>
    <x:row r="12">
      <x:c r="A12" s="13" t="str">
        <x:v>8</x:v>
      </x:c>
      <x:c r="B12" s="13" t="str">
        <x:v>模型身份</x:v>
      </x:c>
      <x:c r="C12" s="13" t="str">
        <x:v>只读查询每个 opencode.db</x:v>
      </x:c>
      <x:c r="D12" s="13" t="str">
        <x:v>posthoc-audit.model_identity</x:v>
      </x:c>
      <x:c r="E12" s="13" t="str">
        <x:v>是</x:v>
      </x:c>
      <x:c r="F12" s="13" t="str">
        <x:v>不替换当前 minimax-cn/MiniMax-M3。</x:v>
      </x:c>
    </x:row>
    <x:row r="13">
      <x:c r="A13" s="13" t="str">
        <x:v>9</x:v>
      </x:c>
      <x:c r="B13" s="13" t="str">
        <x:v>执行路线</x:v>
      </x:c>
      <x:c r="C13" s="13" t="str">
        <x:v>Docker=false；SkillBench route=false</x:v>
      </x:c>
      <x:c r="D13" s="13" t="str">
        <x:v>所有 result.json / audit JSON</x:v>
      </x:c>
      <x:c r="E13" s="13" t="str">
        <x:v>是</x:v>
      </x:c>
      <x:c r="F13" s="13" t="str">
        <x:v>仅使用本机 OpenCode 与项目内最小依赖。</x:v>
      </x:c>
    </x:row>
    <x:row r="16" ht="22" customHeight="1">
      <x:c r="A16" s="24" t="str">
        <x:v>公开诊断清洗规则</x:v>
      </x:c>
      <x:c r="B16" s="24" t="str">
        <x:v>公开诊断清洗规则</x:v>
      </x:c>
      <x:c r="C16" s="24" t="str">
        <x:v>公开诊断清洗规则</x:v>
      </x:c>
      <x:c r="D16" s="24" t="str">
        <x:v>公开诊断清洗规则</x:v>
      </x:c>
      <x:c r="E16" s="24" t="str">
        <x:v>公开诊断清洗规则</x:v>
      </x:c>
      <x:c r="F16" s="24" t="str">
        <x:v>公开诊断清洗规则</x:v>
      </x:c>
    </x:row>
    <x:row r="17">
      <x:c r="A17" s="7" t="str">
        <x:v>输入来源</x:v>
      </x:c>
      <x:c r="B17" s="7" t="str">
        <x:v>保留信息</x:v>
      </x:c>
      <x:c r="C17" s="7" t="str">
        <x:v>删除/不披露</x:v>
      </x:c>
      <x:c r="D17" s="7" t="str">
        <x:v>触发类型</x:v>
      </x:c>
      <x:c r="E17" s="7" t="str">
        <x:v>路由动作</x:v>
      </x:c>
      <x:c r="F17" s="7" t="str">
        <x:v>说明</x:v>
      </x:c>
    </x:row>
    <x:row r="18">
      <x:c r="A18" s="13" t="str">
        <x:v>Verifier stdout/stderr</x:v>
      </x:c>
      <x:c r="B18" s="13" t="str">
        <x:v>缺失、sheet 结构、formula、accuracy 等类别</x:v>
      </x:c>
      <x:c r="C18" s="13" t="str">
        <x:v>computed/expected 具体数值、ground-truth 文件名细节</x:v>
      </x:c>
      <x:c r="D18" s="13" t="str">
        <x:v>incomplete_output / schema_error / wrong_format / test_failure</x:v>
      </x:c>
      <x:c r="E18" s="13" t="str">
        <x:v>PD-VISTA 每轮最多 1 模块</x:v>
      </x:c>
      <x:c r="F18" s="13" t="str">
        <x:v>只提供模型可观察且稳定的摘要。</x:v>
      </x:c>
    </x:row>
    <x:row r="19">
      <x:c r="A19" s="13" t="str">
        <x:v>OpenCode JSONL</x:v>
      </x:c>
      <x:c r="B19" s="13" t="str">
        <x:v>请求、工具、token、session、provider/model、429/error 类别</x:v>
      </x:c>
      <x:c r="C19" s="13" t="str">
        <x:v>密钥与外部完整日志</x:v>
      </x:c>
      <x:c r="D19" s="13" t="str">
        <x:v>api_error / rate_limit</x:v>
      </x:c>
      <x:c r="E19" s="13" t="str">
        <x:v>限流 attempt 隔离</x:v>
      </x:c>
      <x:c r="F19" s="13" t="str">
        <x:v>只读审计，不回灌给模型。</x:v>
      </x:c>
    </x:row>
    <x:row r="20">
      <x:c r="A20" s="13" t="str">
        <x:v>PD-VISTA root</x:v>
      </x:c>
      <x:c r="B20" s="13" t="str">
        <x:v>VISTA.md 根路由说明</x:v>
      </x:c>
      <x:c r="C20" s="13" t="str">
        <x:v>隐藏模块正文</x:v>
      </x:c>
      <x:c r="D20" s="13" t="str">
        <x:v>manifest trigger</x:v>
      </x:c>
      <x:c r="E20" s="13" t="str">
        <x:v>匹配首个未披露模块</x:v>
      </x:c>
      <x:c r="F20" s="13" t="str">
        <x:v>先失败后披露；下一轮审计实际读取。</x:v>
      </x:c>
    </x:row>
    <x:row r="21">
      <x:c r="A21" s="13" t="str">
        <x:v>最终 Verifier</x:v>
      </x:c>
      <x:c r="B21" s="13" t="str">
        <x:v>exit code、通过/失败、11 tests</x:v>
      </x:c>
      <x:c r="C21" s="13" t="str">
        <x:v>参考答案与私有 ground truth 数值</x:v>
      </x:c>
      <x:c r="D21" s="13" t="str">
        <x:v>success / test_failure</x:v>
      </x:c>
      <x:c r="E21" s="13" t="str">
        <x:v>通过即停止</x:v>
      </x:c>
      <x:c r="F21" s="13" t="str">
        <x:v>统一 verifier 与最大轮数。</x:v>
      </x:c>
    </x:row>
  </x:sheetData>
  <x:mergeCells>
    <x:mergeCell ref="A1:F1"/>
    <x:mergeCell ref="A3:F3"/>
    <x:mergeCell ref="A16:F16"/>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64" hidden="0" customWidth="1"/>
    <x:col min="3" max="3" width="22" hidden="0" customWidth="1"/>
    <x:col min="4" max="4" width="42" hidden="0" customWidth="1"/>
    <x:col min="5" max="5" width="42" hidden="0" customWidth="1"/>
  </x:cols>
  <x:sheetData>
    <x:row r="1" ht="28" customHeight="1">
      <x:c r="A1" s="3" t="str">
        <x:v>三种条件原始提示词与失败反馈</x:v>
      </x:c>
      <x:c r="B1" s="3" t="str">
        <x:v>三种条件原始提示词与失败反馈</x:v>
      </x:c>
      <x:c r="C1" s="3" t="str">
        <x:v>三种条件原始提示词与失败反馈</x:v>
      </x:c>
      <x:c r="D1" s="3" t="str">
        <x:v>三种条件原始提示词与失败反馈</x:v>
      </x:c>
      <x:c r="E1" s="3" t="str">
        <x:v>三种条件原始提示词与失败反馈</x:v>
      </x:c>
    </x:row>
    <x:row r="3" ht="22" customHeight="1">
      <x:c r="A3" s="24" t="str">
        <x:v>首轮原始提示词</x:v>
      </x:c>
      <x:c r="B3" s="24" t="str">
        <x:v>首轮原始提示词</x:v>
      </x:c>
      <x:c r="C3" s="24" t="str">
        <x:v>首轮原始提示词</x:v>
      </x:c>
      <x:c r="D3" s="24" t="str">
        <x:v>首轮原始提示词</x:v>
      </x:c>
      <x:c r="E3" s="24" t="str">
        <x:v>首轮原始提示词</x:v>
      </x:c>
    </x:row>
    <x:row r="4">
      <x:c r="A4" s="7" t="str">
        <x:v>条件</x:v>
      </x:c>
      <x:c r="B4" s="7" t="str">
        <x:v>原始首轮提示词（英文原文）</x:v>
      </x:c>
      <x:c r="C4" s="7" t="str">
        <x:v>中文说明</x:v>
      </x:c>
      <x:c r="D4" s="7" t="str">
        <x:v>首个公开失败反馈提示词</x:v>
      </x:c>
      <x:c r="E4" s="7" t="str">
        <x:v>反馈说明</x:v>
      </x:c>
    </x:row>
    <x:row r="5">
      <x:c r="A5" s="13" t="str">
        <x:v>noskill</x:v>
      </x:c>
      <x:c r="B5" s="13" t="str">
        <x:v>Solve the isolated task-004 powerlifting spreadsheet task in this working directory. Work only inside this directory and do not access parent or external directories. First read task.md and data/data-readme.md, inspect the local workbook at ./data/openipf.xlsx, and preserve the Data sheet. The task text's /root/data/openipf.xlsx path is mapped to ./data/openipf.xlsx in this isolated workspace; save the completed workbook at that exact local path. Populate the Dots sheet with the requested columns in the required order, use Excel formulas for TotalKg and Dots, preserve three-decimal computation precision, and make sure the workbook is valid and readable by the local verifier. You may use local Python spreadsheet tools already present in the workspace, but do not fetch data or libraries. The controller runs the complete acceptance verifier after each turn. No task Skill is available in this condition; solve from task.md, data/data-readme.md, and the workbook only.</x:v>
      </x:c>
      <x:c r="C5" s="13" t="str">
        <x:v>不提供 task Skill；仅使用 task.md、数据说明与本地工作簿。</x:v>
      </x:c>
      <x:c r="D5" s="13" t="str">
        <x:v>未触发公开失败反馈；首轮直接通过。</x:v>
      </x:c>
      <x:c r="E5" s="13" t="str">
        <x:v>最终有效组未触发公开诊断。</x:v>
      </x:c>
    </x:row>
    <x:row r="6">
      <x:c r="A6" s="13" t="str">
        <x:v>native</x:v>
      </x:c>
      <x:c r="B6" s="13" t="str">
        <x:v>Solve the isolated task-004 powerlifting spreadsheet task in this working directory. Work only inside this directory and do not access parent or external directories. First read task.md and data/data-readme.md, inspect the local workbook at ./data/openipf.xlsx, and preserve the Data sheet. The task text's /root/data/openipf.xlsx path is mapped to ./data/openipf.xlsx in this isolated workspace; save the completed workbook at that exact local path. Populate the Dots sheet with the requested columns in the required order, use Excel formulas for TotalKg and Dots, preserve three-decimal computation precision, and make sure the workbook is valid and readable by the local verifier. You may use local Python spreadsheet tools already present in the workspace, but do not fetch data or libraries. The controller runs the complete acceptance verifier after each turn. The full original guidance modules are available at ./modules/&lt;module-id&gt;/SKILL.md; read and use them.</x:v>
      </x:c>
      <x:c r="C6" s="13" t="str">
        <x:v>首轮前完整提供 powerlifting、senior-data-scientist、xlsx 三个原始模块。</x:v>
      </x:c>
      <x:c r="D6" s="13" t="str">
        <x:v>未触发公开失败反馈；有效组首轮通过。</x:v>
      </x:c>
      <x:c r="E6" s="13" t="str">
        <x:v>限流 attempt 不进入反馈统计。</x:v>
      </x:c>
    </x:row>
    <x:row r="7">
      <x:c r="A7" s="13" t="str">
        <x:v>pd-vista</x:v>
      </x:c>
      <x:c r="B7" s="13" t="str">
        <x:v>Solve the isolated task-004 powerlifting spreadsheet task in this working directory. Work only inside this directory and do not access parent or external directories. First read task.md and data/data-readme.md, inspect the local workbook at ./data/openipf.xlsx, and preserve the Data sheet. The task text's /root/data/openipf.xlsx path is mapped to ./data/openipf.xlsx in this isolated workspace; save the completed workbook at that exact local path. Populate the Dots sheet with the requested columns in the required order, use Excel formulas for TotalKg and Dots, preserve three-decimal computation precision, and make sure the workbook is valid and readable by the local verifier. You may use local Python spreadsheet tools already present in the workspace, but do not fetch data or libraries. The controller runs the complete acceptance verifier after each turn. Read VISTA.md. The original guidance modules are initially hidden; after a public verifier failure, VISTA may disclose at most one relevant module under ./modules/&lt;module-id&gt;/SKILL.md. Read any disclosed module before the next repair turn.</x:v>
      </x:c>
      <x:c r="C7" s="13" t="str">
        <x:v>初始只提供 VISTA.md；公开失败后最多披露一个相关模块。</x:v>
      </x:c>
      <x:c r="D7" s="13" t="str">
        <x:v>The public workbook verifier failed with schema_error, wrong_format, test_failure. Public diagnostic: the Data/Dots sheet structure or required column order is invalid; TotalKg and Dots must be Excel formulas
VISTA disclosed ./modules/powerlifting/SKILL.md. Read it before repairing. Continue in the same session, work only inside this directory, repair ./data/openipf.xlsx, and rerun local checks when useful.</x:v>
      </x:c>
      <x:c r="E7" s="13" t="str">
        <x:v>最终有效证据见 PD-VISTA证据。</x:v>
      </x:c>
    </x:row>
    <x:row r="10" ht="22" customHeight="1">
      <x:c r="A10" s="24" t="str">
        <x:v>PD-VISTA 路由根说明与原始模块</x:v>
      </x:c>
      <x:c r="B10" s="24" t="str">
        <x:v>PD-VISTA 路由根说明与原始模块</x:v>
      </x:c>
      <x:c r="C10" s="24" t="str">
        <x:v>PD-VISTA 路由根说明与原始模块</x:v>
      </x:c>
      <x:c r="D10" s="24" t="str">
        <x:v>PD-VISTA 路由根说明与原始模块</x:v>
      </x:c>
      <x:c r="E10" s="24" t="str">
        <x:v>PD-VISTA 路由根说明与原始模块</x:v>
      </x:c>
    </x:row>
    <x:row r="11">
      <x:c r="A11" s="7" t="str">
        <x:v>资产</x:v>
      </x:c>
      <x:c r="B11" s="7" t="str">
        <x:v>路径</x:v>
      </x:c>
      <x:c r="C11" s="7" t="str">
        <x:v>初始可见性</x:v>
      </x:c>
      <x:c r="D11" s="7" t="str">
        <x:v>披露条件</x:v>
      </x:c>
      <x:c r="E11" s="7" t="str">
        <x:v>中文说明</x:v>
      </x:c>
    </x:row>
    <x:row r="12">
      <x:c r="A12" s="13" t="str">
        <x:v>根路由</x:v>
      </x:c>
      <x:c r="B12" s="13" t="str">
        <x:v>skills/pd-vista/task-004/SKILL.md</x:v>
      </x:c>
      <x:c r="C12" s="13" t="str">
        <x:v>可见</x:v>
      </x:c>
      <x:c r="D12" s="13" t="str">
        <x:v>始终可见</x:v>
      </x:c>
      <x:c r="E12" s="13" t="str">
        <x:v>规定先看工作簿、保留 Data、公式计算与单模块披露。</x:v>
      </x:c>
    </x:row>
    <x:row r="13">
      <x:c r="A13" s="13" t="str">
        <x:v>powerlifting</x:v>
      </x:c>
      <x:c r="B13" s="13" t="str">
        <x:v>environment/skills/powerlifting/SKILL.md</x:v>
      </x:c>
      <x:c r="C13" s="13" t="str">
        <x:v>Native 可见；PD-VISTA 隐藏</x:v>
      </x:c>
      <x:c r="D13" s="13" t="str">
        <x:v>incomplete_output / schema_error / wrong_format</x:v>
      </x:c>
      <x:c r="E13" s="13" t="str">
        <x:v>Dots 公式、性别系数与边界说明。</x:v>
      </x:c>
    </x:row>
    <x:row r="14">
      <x:c r="A14" s="13" t="str">
        <x:v>senior-data-scientist</x:v>
      </x:c>
      <x:c r="B14" s="13" t="str">
        <x:v>environment/skills/senior-data-scientist/SKILL.md</x:v>
      </x:c>
      <x:c r="C14" s="13" t="str">
        <x:v>Native 可见；PD-VISTA 隐藏</x:v>
      </x:c>
      <x:c r="D14" s="13" t="str">
        <x:v>assertion_error / test_failure / repeated_failure</x:v>
      </x:c>
      <x:c r="E14" s="13" t="str">
        <x:v>测试失败与重复失败的分析模块。</x:v>
      </x:c>
    </x:row>
    <x:row r="15">
      <x:c r="A15" s="13" t="str">
        <x:v>xlsx</x:v>
      </x:c>
      <x:c r="B15" s="13" t="str">
        <x:v>environment/skills/xlsx/SKILL.md</x:v>
      </x:c>
      <x:c r="C15" s="13" t="str">
        <x:v>Native 可见；PD-VISTA 隐藏</x:v>
      </x:c>
      <x:c r="D15" s="13" t="str">
        <x:v>dependency_error / runtime_error / command_failure / timeout</x:v>
      </x:c>
      <x:c r="E15" s="13" t="str">
        <x:v>公式、重算、零错误与格式规则。</x:v>
      </x:c>
    </x:row>
  </x:sheetData>
  <x:mergeCells>
    <x:mergeCell ref="A1:E1"/>
    <x:mergeCell ref="A3:E3"/>
    <x:mergeCell ref="A10:E1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8" hidden="0" customWidth="1"/>
    <x:col min="4" max="4" width="10" hidden="0" customWidth="1"/>
    <x:col min="5" max="5" width="30" hidden="0" customWidth="1"/>
    <x:col min="6" max="6" width="28" hidden="0" customWidth="1"/>
    <x:col min="7" max="7" width="12" hidden="0" customWidth="1"/>
    <x:col min="8" max="8" width="30" hidden="0" customWidth="1"/>
    <x:col min="9" max="9" width="70" hidden="0" customWidth="1"/>
  </x:cols>
  <x:sheetData>
    <x:row r="1" ht="28" customHeight="1">
      <x:c r="A1" s="3" t="str">
        <x:v>PD-VISTA 披露证据与限流排除</x:v>
      </x:c>
      <x:c r="B1" s="3" t="str">
        <x:v>PD-VISTA 披露证据与限流排除</x:v>
      </x:c>
      <x:c r="C1" s="3" t="str">
        <x:v>PD-VISTA 披露证据与限流排除</x:v>
      </x:c>
      <x:c r="D1" s="3" t="str">
        <x:v>PD-VISTA 披露证据与限流排除</x:v>
      </x:c>
      <x:c r="E1" s="3" t="str">
        <x:v>PD-VISTA 披露证据与限流排除</x:v>
      </x:c>
      <x:c r="F1" s="3" t="str">
        <x:v>PD-VISTA 披露证据与限流排除</x:v>
      </x:c>
      <x:c r="G1" s="3" t="str">
        <x:v>PD-VISTA 披露证据与限流排除</x:v>
      </x:c>
      <x:c r="H1" s="3" t="str">
        <x:v>PD-VISTA 披露证据与限流排除</x:v>
      </x:c>
      <x:c r="I1" s="3" t="str">
        <x:v>PD-VISTA 披露证据与限流排除</x:v>
      </x:c>
    </x:row>
    <x:row r="3" ht="22" customHeight="1">
      <x:c r="A3" s="24" t="str">
        <x:v>有效 PD-VISTA 组</x:v>
      </x:c>
      <x:c r="B3" s="24" t="str">
        <x:v>有效 PD-VISTA 组</x:v>
      </x:c>
      <x:c r="C3" s="24" t="str">
        <x:v>有效 PD-VISTA 组</x:v>
      </x:c>
      <x:c r="D3" s="24" t="str">
        <x:v>有效 PD-VISTA 组</x:v>
      </x:c>
      <x:c r="E3" s="24" t="str">
        <x:v>有效 PD-VISTA 组</x:v>
      </x:c>
      <x:c r="F3" s="24" t="str">
        <x:v>有效 PD-VISTA 组</x:v>
      </x:c>
      <x:c r="G3" s="24" t="str">
        <x:v>有效 PD-VISTA 组</x:v>
      </x:c>
      <x:c r="H3" s="24" t="str">
        <x:v>有效 PD-VISTA 组</x:v>
      </x:c>
      <x:c r="I3" s="24" t="str">
        <x:v>有效 PD-VISTA 组</x:v>
      </x:c>
    </x:row>
    <x:row r="4">
      <x:c r="A4" s="7" t="str">
        <x:v>组ID</x:v>
      </x:c>
      <x:c r="B4" s="7" t="str">
        <x:v>重复</x:v>
      </x:c>
      <x:c r="C4" s="7" t="str">
        <x:v>状态</x:v>
      </x:c>
      <x:c r="D4" s="7" t="str">
        <x:v>触发机会</x:v>
      </x:c>
      <x:c r="E4" s="7" t="str">
        <x:v>可路由反馈</x:v>
      </x:c>
      <x:c r="F4" s="7" t="str">
        <x:v>披露模块</x:v>
      </x:c>
      <x:c r="G4" s="7" t="str">
        <x:v>下一轮实际访问</x:v>
      </x:c>
      <x:c r="H4" s="7" t="str">
        <x:v>干净闭环</x:v>
      </x:c>
      <x:c r="I4" s="7" t="str">
        <x:v>逐轮证据</x:v>
      </x:c>
    </x:row>
    <x:row r="5">
      <x:c r="A5" s="13" t="str">
        <x:v>pd-vista-01</x:v>
      </x:c>
      <x:c r="B5" s="13" t="n">
        <x:v>1</x:v>
      </x:c>
      <x:c r="C5" s="13" t="str">
        <x:v>passed_without_clean_vista_feedback_loop</x:v>
      </x:c>
      <x:c r="D5" s="13" t="n">
        <x:v>0</x:v>
      </x:c>
      <x:c r="E5" s="13" t="n">
        <x:v>0</x:v>
      </x:c>
      <x:c r="F5" s="13" t="str">
        <x:v>—</x:v>
      </x:c>
      <x:c r="G5" s="13" t="str">
        <x:v>—</x:v>
      </x:c>
      <x:c r="H5" s="13" t="n">
        <x:v>0</x:v>
      </x:c>
      <x:c r="I5" s="13" t="str">
        <x:v>无披露事件</x:v>
      </x:c>
    </x:row>
    <x:row r="6">
      <x:c r="A6" s="13" t="str">
        <x:v>pd-vista-02</x:v>
      </x:c>
      <x:c r="B6" s="13" t="n">
        <x:v>2</x:v>
      </x:c>
      <x:c r="C6" s="13" t="str">
        <x:v>passed_with_clean_vista_feedback_loop</x:v>
      </x:c>
      <x:c r="D6" s="13" t="n">
        <x:v>1</x:v>
      </x:c>
      <x:c r="E6" s="13" t="n">
        <x:v>1</x:v>
      </x:c>
      <x:c r="F6" s="13" t="str">
        <x:v>powerlifting</x:v>
      </x:c>
      <x:c r="G6" s="13" t="str">
        <x:v>powerlifting</x:v>
      </x:c>
      <x:c r="H6" s="13" t="n">
        <x:v>1</x:v>
      </x:c>
      <x:c r="I6" s="13" t="str">
        <x:v>第1轮披露 powerlifting；下一轮访问=true</x:v>
      </x:c>
    </x:row>
    <x:row r="7">
      <x:c r="A7" s="13" t="str">
        <x:v>pd-vista-03</x:v>
      </x:c>
      <x:c r="B7" s="13" t="n">
        <x:v>3</x:v>
      </x:c>
      <x:c r="C7" s="13" t="str">
        <x:v>passed_without_clean_vista_feedback_loop</x:v>
      </x:c>
      <x:c r="D7" s="13" t="n">
        <x:v>0</x:v>
      </x:c>
      <x:c r="E7" s="13" t="n">
        <x:v>0</x:v>
      </x:c>
      <x:c r="F7" s="13" t="str">
        <x:v>—</x:v>
      </x:c>
      <x:c r="G7" s="13" t="str">
        <x:v>—</x:v>
      </x:c>
      <x:c r="H7" s="13" t="n">
        <x:v>0</x:v>
      </x:c>
      <x:c r="I7" s="13" t="str">
        <x:v>无披露事件</x:v>
      </x:c>
    </x:row>
    <x:row r="9" ht="22" customHeight="1">
      <x:c r="A9" s="24" t="str">
        <x:v>限流与诊断排除记录</x:v>
      </x:c>
      <x:c r="B9" s="24" t="str">
        <x:v>限流与诊断排除记录</x:v>
      </x:c>
      <x:c r="C9" s="24" t="str">
        <x:v>限流与诊断排除记录</x:v>
      </x:c>
      <x:c r="D9" s="24" t="str">
        <x:v>限流与诊断排除记录</x:v>
      </x:c>
      <x:c r="E9" s="24" t="str">
        <x:v>限流与诊断排除记录</x:v>
      </x:c>
      <x:c r="F9" s="24" t="str">
        <x:v>限流与诊断排除记录</x:v>
      </x:c>
      <x:c r="G9" s="24" t="str">
        <x:v>限流与诊断排除记录</x:v>
      </x:c>
      <x:c r="H9" s="24" t="str">
        <x:v>限流与诊断排除记录</x:v>
      </x:c>
      <x:c r="I9" s="24" t="str">
        <x:v>限流与诊断排除记录</x:v>
      </x:c>
    </x:row>
    <x:row r="10">
      <x:c r="A10" s="7" t="str">
        <x:v>类型</x:v>
      </x:c>
      <x:c r="B10" s="7" t="str">
        <x:v>条件</x:v>
      </x:c>
      <x:c r="C10" s="7" t="str">
        <x:v>重复</x:v>
      </x:c>
      <x:c r="D10" s="7" t="str">
        <x:v>Attempt</x:v>
      </x:c>
      <x:c r="E10" s="7" t="str">
        <x:v>状态</x:v>
      </x:c>
      <x:c r="F10" s="7" t="str">
        <x:v>Stop reason</x:v>
      </x:c>
      <x:c r="G10" s="7" t="str">
        <x:v>请求数</x:v>
      </x:c>
      <x:c r="H10" s="7" t="str">
        <x:v>session</x:v>
      </x:c>
      <x:c r="I10" s="7" t="str">
        <x:v>排除说明</x:v>
      </x:c>
    </x:row>
    <x:row r="11">
      <x:c r="A11" s="13" t="str">
        <x:v>429/限流</x:v>
      </x:c>
      <x:c r="B11" s="13" t="str">
        <x:v>native</x:v>
      </x:c>
      <x:c r="C11" s="13" t="n">
        <x:v>1</x:v>
      </x:c>
      <x:c r="D11" s="13" t="n">
        <x:v>1</x:v>
      </x:c>
      <x:c r="E11" s="13" t="str">
        <x:v>quarantined_rate_limit</x:v>
      </x:c>
      <x:c r="F11" s="13" t="str">
        <x:v>rate_limit_response</x:v>
      </x:c>
      <x:c r="G11" s="13" t="n">
        <x:v>28</x:v>
      </x:c>
      <x:c r="H11" s="13" t="str">
        <x:v>ses_fd144434fffeCWF7ViG1xWR0iB</x:v>
      </x:c>
      <x:c r="I11" s="13" t="str">
        <x:v>shared rate-limit attempt excluded</x:v>
      </x:c>
    </x:row>
    <x:row r="12">
      <x:c r="A12" s="13" t="str">
        <x:v>429/限流</x:v>
      </x:c>
      <x:c r="B12" s="13" t="str">
        <x:v>native</x:v>
      </x:c>
      <x:c r="C12" s="13" t="n">
        <x:v>3</x:v>
      </x:c>
      <x:c r="D12" s="13" t="n">
        <x:v>1</x:v>
      </x:c>
      <x:c r="E12" s="13" t="str">
        <x:v>quarantined_rate_limit</x:v>
      </x:c>
      <x:c r="F12" s="13" t="str">
        <x:v>http_429_rate_limit</x:v>
      </x:c>
      <x:c r="G12" s="13" t="n">
        <x:v>0</x:v>
      </x:c>
      <x:c r="H12" s="13" t="str">
        <x:v>ses_fd0fe38f1ffe5Kuo19G3zClgps</x:v>
      </x:c>
      <x:c r="I12" s="13" t="str">
        <x:v>shared rate-limit attempt excluded</x:v>
      </x:c>
    </x:row>
    <x:row r="13">
      <x:c r="A13" s="13" t="str">
        <x:v>429/限流</x:v>
      </x:c>
      <x:c r="B13" s="13" t="str">
        <x:v>native</x:v>
      </x:c>
      <x:c r="C13" s="13" t="n">
        <x:v>3</x:v>
      </x:c>
      <x:c r="D13" s="13" t="n">
        <x:v>2</x:v>
      </x:c>
      <x:c r="E13" s="13" t="str">
        <x:v>quarantined_rate_limit</x:v>
      </x:c>
      <x:c r="F13" s="13" t="str">
        <x:v>http_429_rate_limit</x:v>
      </x:c>
      <x:c r="G13" s="13" t="n">
        <x:v>0</x:v>
      </x:c>
      <x:c r="H13" s="13" t="str">
        <x:v>ses_fd0fcf5edffeltUWeB49uGTkEi</x:v>
      </x:c>
      <x:c r="I13" s="13" t="str">
        <x:v>shared rate-limit attempt excluded</x:v>
      </x:c>
    </x:row>
    <x:row r="14">
      <x:c r="A14" s="13" t="str">
        <x:v>429/限流</x:v>
      </x:c>
      <x:c r="B14" s="13" t="str">
        <x:v>native</x:v>
      </x:c>
      <x:c r="C14" s="13" t="n">
        <x:v>3</x:v>
      </x:c>
      <x:c r="D14" s="13" t="n">
        <x:v>3</x:v>
      </x:c>
      <x:c r="E14" s="13" t="str">
        <x:v>quarantined_rate_limit</x:v>
      </x:c>
      <x:c r="F14" s="13" t="str">
        <x:v>http_429_rate_limit</x:v>
      </x:c>
      <x:c r="G14" s="13" t="n">
        <x:v>0</x:v>
      </x:c>
      <x:c r="H14" s="13" t="str">
        <x:v>ses_fd0fbd086ffezAkNeVeV3bZOh4</x:v>
      </x:c>
      <x:c r="I14" s="13" t="str">
        <x:v>shared rate-limit attempt excluded</x:v>
      </x:c>
    </x:row>
    <x:row r="15">
      <x:c r="A15" s="13" t="str">
        <x:v>429/限流</x:v>
      </x:c>
      <x:c r="B15" s="13" t="str">
        <x:v>native</x:v>
      </x:c>
      <x:c r="C15" s="13" t="n">
        <x:v>3</x:v>
      </x:c>
      <x:c r="D15" s="13" t="n">
        <x:v>4</x:v>
      </x:c>
      <x:c r="E15" s="13" t="str">
        <x:v>quarantined_rate_limit</x:v>
      </x:c>
      <x:c r="F15" s="13" t="str">
        <x:v>http_429_rate_limit</x:v>
      </x:c>
      <x:c r="G15" s="13" t="n">
        <x:v>0</x:v>
      </x:c>
      <x:c r="H15" s="13" t="str">
        <x:v>ses_fd0fa9594fferPcMlzf52bTAD4</x:v>
      </x:c>
      <x:c r="I15" s="13" t="str">
        <x:v>shared rate-limit attempt excluded</x:v>
      </x:c>
    </x:row>
    <x:row r="16">
      <x:c r="A16" s="13" t="str">
        <x:v>429/限流</x:v>
      </x:c>
      <x:c r="B16" s="13" t="str">
        <x:v>native</x:v>
      </x:c>
      <x:c r="C16" s="13" t="n">
        <x:v>3</x:v>
      </x:c>
      <x:c r="D16" s="13" t="n">
        <x:v>5</x:v>
      </x:c>
      <x:c r="E16" s="13" t="str">
        <x:v>quarantined_rate_limit</x:v>
      </x:c>
      <x:c r="F16" s="13" t="str">
        <x:v>http_429_rate_limit</x:v>
      </x:c>
      <x:c r="G16" s="13" t="n">
        <x:v>0</x:v>
      </x:c>
      <x:c r="H16" s="13" t="str">
        <x:v>ses_fd0f62f69ffeU1oUFn3PTEmJLY</x:v>
      </x:c>
      <x:c r="I16" s="13" t="str">
        <x:v>shared rate-limit attempt excluded</x:v>
      </x:c>
    </x:row>
    <x:row r="17">
      <x:c r="A17" s="13" t="str">
        <x:v>429/限流</x:v>
      </x:c>
      <x:c r="B17" s="13" t="str">
        <x:v>native</x:v>
      </x:c>
      <x:c r="C17" s="13" t="n">
        <x:v>3</x:v>
      </x:c>
      <x:c r="D17" s="13" t="n">
        <x:v>6</x:v>
      </x:c>
      <x:c r="E17" s="13" t="str">
        <x:v>quarantined_rate_limit</x:v>
      </x:c>
      <x:c r="F17" s="13" t="str">
        <x:v>http_429_rate_limit</x:v>
      </x:c>
      <x:c r="G17" s="13" t="n">
        <x:v>0</x:v>
      </x:c>
      <x:c r="H17" s="13" t="str">
        <x:v>ses_fd0ef3e91ffeJ82DS5eX1rZRvz</x:v>
      </x:c>
      <x:c r="I17" s="13" t="str">
        <x:v>shared rate-limit attempt excluded</x:v>
      </x:c>
    </x:row>
    <x:row r="18">
      <x:c r="A18" s="13" t="str">
        <x:v>429/限流</x:v>
      </x:c>
      <x:c r="B18" s="13" t="str">
        <x:v>native</x:v>
      </x:c>
      <x:c r="C18" s="13" t="n">
        <x:v>3</x:v>
      </x:c>
      <x:c r="D18" s="13" t="n">
        <x:v>7</x:v>
      </x:c>
      <x:c r="E18" s="13" t="str">
        <x:v>quarantined_rate_limit</x:v>
      </x:c>
      <x:c r="F18" s="13" t="str">
        <x:v>http_429_rate_limit</x:v>
      </x:c>
      <x:c r="G18" s="13" t="n">
        <x:v>0</x:v>
      </x:c>
      <x:c r="H18" s="13" t="str">
        <x:v>ses_fd0e5aeecffe3Zx2yLNixltm3W</x:v>
      </x:c>
      <x:c r="I18" s="13" t="str">
        <x:v>shared rate-limit attempt excluded</x:v>
      </x:c>
    </x:row>
    <x:row r="19">
      <x:c r="A19" s="13" t="str">
        <x:v>429/限流</x:v>
      </x:c>
      <x:c r="B19" s="13" t="str">
        <x:v>native</x:v>
      </x:c>
      <x:c r="C19" s="13" t="n">
        <x:v>3</x:v>
      </x:c>
      <x:c r="D19" s="13" t="n">
        <x:v>8</x:v>
      </x:c>
      <x:c r="E19" s="13" t="str">
        <x:v>quarantined_rate_limit</x:v>
      </x:c>
      <x:c r="F19" s="13" t="str">
        <x:v>http_429_rate_limit</x:v>
      </x:c>
      <x:c r="G19" s="13" t="n">
        <x:v>0</x:v>
      </x:c>
      <x:c r="H19" s="13" t="str">
        <x:v>ses_fcebfeb89ffe5SA2AuwYJUP72C</x:v>
      </x:c>
      <x:c r="I19" s="13" t="str">
        <x:v>shared rate-limit attempt excluded</x:v>
      </x:c>
    </x:row>
    <x:row r="20">
      <x:c r="A20" s="13" t="str">
        <x:v>429/限流</x:v>
      </x:c>
      <x:c r="B20" s="13" t="str">
        <x:v>noskill</x:v>
      </x:c>
      <x:c r="C20" s="13" t="n">
        <x:v>2</x:v>
      </x:c>
      <x:c r="D20" s="13" t="n">
        <x:v>1</x:v>
      </x:c>
      <x:c r="E20" s="13" t="str">
        <x:v>quarantined_rate_limit</x:v>
      </x:c>
      <x:c r="F20" s="13" t="str">
        <x:v>rate_limit_response</x:v>
      </x:c>
      <x:c r="G20" s="13" t="n">
        <x:v>30</x:v>
      </x:c>
      <x:c r="H20" s="13" t="str">
        <x:v>ses_fd11e8a73ffeZ27F4e6FW4NAnP</x:v>
      </x:c>
      <x:c r="I20" s="13" t="str">
        <x:v>shared rate-limit attempt excluded</x:v>
      </x:c>
    </x:row>
    <x:row r="21">
      <x:c r="A21" s="13" t="str">
        <x:v>429/限流</x:v>
      </x:c>
      <x:c r="B21" s="13" t="str">
        <x:v>noskill</x:v>
      </x:c>
      <x:c r="C21" s="13" t="n">
        <x:v>2</x:v>
      </x:c>
      <x:c r="D21" s="13" t="n">
        <x:v>2</x:v>
      </x:c>
      <x:c r="E21" s="13" t="str">
        <x:v>quarantined_rate_limit</x:v>
      </x:c>
      <x:c r="F21" s="13" t="str">
        <x:v>rate_limit_response</x:v>
      </x:c>
      <x:c r="G21" s="13" t="n">
        <x:v>41</x:v>
      </x:c>
      <x:c r="H21" s="13" t="str">
        <x:v>ses_fd11c80eaffeLQGSmt1jIkWdVW</x:v>
      </x:c>
      <x:c r="I21" s="13" t="str">
        <x:v>shared rate-limit attempt excluded</x:v>
      </x:c>
    </x:row>
    <x:row r="22">
      <x:c r="A22" s="13" t="str">
        <x:v>429/限流</x:v>
      </x:c>
      <x:c r="B22" s="13" t="str">
        <x:v>noskill</x:v>
      </x:c>
      <x:c r="C22" s="13" t="n">
        <x:v>2</x:v>
      </x:c>
      <x:c r="D22" s="13" t="n">
        <x:v>3</x:v>
      </x:c>
      <x:c r="E22" s="13" t="str">
        <x:v>quarantined_rate_limit</x:v>
      </x:c>
      <x:c r="F22" s="13" t="str">
        <x:v>rate_limit_response</x:v>
      </x:c>
      <x:c r="G22" s="13" t="n">
        <x:v>32</x:v>
      </x:c>
      <x:c r="H22" s="13" t="str">
        <x:v>ses_fd111932cffeiXZM8UCd7PTJR1</x:v>
      </x:c>
      <x:c r="I22" s="13" t="str">
        <x:v>shared rate-limit attempt excluded</x:v>
      </x:c>
    </x:row>
    <x:row r="23">
      <x:c r="A23" s="13" t="str">
        <x:v>429/限流</x:v>
      </x:c>
      <x:c r="B23" s="13" t="str">
        <x:v>noskill</x:v>
      </x:c>
      <x:c r="C23" s="13" t="n">
        <x:v>3</x:v>
      </x:c>
      <x:c r="D23" s="13" t="n">
        <x:v>1</x:v>
      </x:c>
      <x:c r="E23" s="13" t="str">
        <x:v>quarantined_rate_limit</x:v>
      </x:c>
      <x:c r="F23" s="13" t="str">
        <x:v>http_429_rate_limit</x:v>
      </x:c>
      <x:c r="G23" s="13" t="n">
        <x:v>0</x:v>
      </x:c>
      <x:c r="H23" s="13" t="str">
        <x:v>ses_fd10326b3ffe4xbt7vPjk0zI35</x:v>
      </x:c>
      <x:c r="I23" s="13" t="str">
        <x:v>shared rate-limit attempt excluded</x:v>
      </x:c>
    </x:row>
    <x:row r="24">
      <x:c r="A24" s="13" t="str">
        <x:v>429/限流</x:v>
      </x:c>
      <x:c r="B24" s="13" t="str">
        <x:v>noskill</x:v>
      </x:c>
      <x:c r="C24" s="13" t="n">
        <x:v>3</x:v>
      </x:c>
      <x:c r="D24" s="13" t="n">
        <x:v>2</x:v>
      </x:c>
      <x:c r="E24" s="13" t="str">
        <x:v>quarantined_rate_limit</x:v>
      </x:c>
      <x:c r="F24" s="13" t="str">
        <x:v>http_429_rate_limit</x:v>
      </x:c>
      <x:c r="G24" s="13" t="n">
        <x:v>0</x:v>
      </x:c>
      <x:c r="H24" s="13" t="str">
        <x:v>ses_fd101f67fffejWkezC8DmJNqVj</x:v>
      </x:c>
      <x:c r="I24" s="13" t="str">
        <x:v>shared rate-limit attempt excluded</x:v>
      </x:c>
    </x:row>
    <x:row r="25">
      <x:c r="A25" s="13" t="str">
        <x:v>429/限流</x:v>
      </x:c>
      <x:c r="B25" s="13" t="str">
        <x:v>noskill</x:v>
      </x:c>
      <x:c r="C25" s="13" t="n">
        <x:v>3</x:v>
      </x:c>
      <x:c r="D25" s="13" t="n">
        <x:v>3</x:v>
      </x:c>
      <x:c r="E25" s="13" t="str">
        <x:v>quarantined_rate_limit</x:v>
      </x:c>
      <x:c r="F25" s="13" t="str">
        <x:v>http_429_rate_limit</x:v>
      </x:c>
      <x:c r="G25" s="13" t="n">
        <x:v>0</x:v>
      </x:c>
      <x:c r="H25" s="13" t="str">
        <x:v>ses_fd100c3c6ffeeSrXD9XiUABGaK</x:v>
      </x:c>
      <x:c r="I25" s="13" t="str">
        <x:v>shared rate-limit attempt excluded</x:v>
      </x:c>
    </x:row>
    <x:row r="26">
      <x:c r="A26" s="13" t="str">
        <x:v>429/限流</x:v>
      </x:c>
      <x:c r="B26" s="13" t="str">
        <x:v>noskill</x:v>
      </x:c>
      <x:c r="C26" s="13" t="n">
        <x:v>3</x:v>
      </x:c>
      <x:c r="D26" s="13" t="n">
        <x:v>4</x:v>
      </x:c>
      <x:c r="E26" s="13" t="str">
        <x:v>quarantined_rate_limit</x:v>
      </x:c>
      <x:c r="F26" s="13" t="str">
        <x:v>http_429_rate_limit</x:v>
      </x:c>
      <x:c r="G26" s="13" t="n">
        <x:v>0</x:v>
      </x:c>
      <x:c r="H26" s="13" t="str">
        <x:v>ses_fd0ff7fc2ffet8AA2UIgqz3RT7</x:v>
      </x:c>
      <x:c r="I26" s="13" t="str">
        <x:v>shared rate-limit attempt excluded</x:v>
      </x:c>
    </x:row>
    <x:row r="27">
      <x:c r="A27" s="13" t="str">
        <x:v>429/限流</x:v>
      </x:c>
      <x:c r="B27" s="13" t="str">
        <x:v>noskill</x:v>
      </x:c>
      <x:c r="C27" s="13" t="n">
        <x:v>3</x:v>
      </x:c>
      <x:c r="D27" s="13" t="n">
        <x:v>5</x:v>
      </x:c>
      <x:c r="E27" s="13" t="str">
        <x:v>quarantined_rate_limit</x:v>
      </x:c>
      <x:c r="F27" s="13" t="str">
        <x:v>http_429_rate_limit</x:v>
      </x:c>
      <x:c r="G27" s="13" t="n">
        <x:v>0</x:v>
      </x:c>
      <x:c r="H27" s="13" t="str">
        <x:v>ses_fd0f761dbffePvxZiBHBra3l5q</x:v>
      </x:c>
      <x:c r="I27" s="13" t="str">
        <x:v>shared rate-limit attempt excluded</x:v>
      </x:c>
    </x:row>
    <x:row r="28">
      <x:c r="A28" s="13" t="str">
        <x:v>429/限流</x:v>
      </x:c>
      <x:c r="B28" s="13" t="str">
        <x:v>noskill</x:v>
      </x:c>
      <x:c r="C28" s="13" t="n">
        <x:v>3</x:v>
      </x:c>
      <x:c r="D28" s="13" t="n">
        <x:v>6</x:v>
      </x:c>
      <x:c r="E28" s="13" t="str">
        <x:v>quarantined_rate_limit</x:v>
      </x:c>
      <x:c r="F28" s="13" t="str">
        <x:v>http_429_rate_limit</x:v>
      </x:c>
      <x:c r="G28" s="13" t="n">
        <x:v>0</x:v>
      </x:c>
      <x:c r="H28" s="13" t="str">
        <x:v>ses_fd0f07faaffei92k9UIgzfAeLr</x:v>
      </x:c>
      <x:c r="I28" s="13" t="str">
        <x:v>shared rate-limit attempt excluded</x:v>
      </x:c>
    </x:row>
    <x:row r="29">
      <x:c r="A29" s="13" t="str">
        <x:v>429/限流</x:v>
      </x:c>
      <x:c r="B29" s="13" t="str">
        <x:v>noskill</x:v>
      </x:c>
      <x:c r="C29" s="13" t="n">
        <x:v>3</x:v>
      </x:c>
      <x:c r="D29" s="13" t="n">
        <x:v>7</x:v>
      </x:c>
      <x:c r="E29" s="13" t="str">
        <x:v>quarantined_rate_limit</x:v>
      </x:c>
      <x:c r="F29" s="13" t="str">
        <x:v>http_429_rate_limit</x:v>
      </x:c>
      <x:c r="G29" s="13" t="n">
        <x:v>0</x:v>
      </x:c>
      <x:c r="H29" s="13" t="str">
        <x:v>ses_fd0e6e4fbffen20TgkZIJggYmu</x:v>
      </x:c>
      <x:c r="I29" s="13" t="str">
        <x:v>shared rate-limit attempt excluded</x:v>
      </x:c>
    </x:row>
    <x:row r="30">
      <x:c r="A30" s="13" t="str">
        <x:v>429/限流</x:v>
      </x:c>
      <x:c r="B30" s="13" t="str">
        <x:v>noskill</x:v>
      </x:c>
      <x:c r="C30" s="13" t="n">
        <x:v>3</x:v>
      </x:c>
      <x:c r="D30" s="13" t="n">
        <x:v>8</x:v>
      </x:c>
      <x:c r="E30" s="13" t="str">
        <x:v>quarantined_rate_limit</x:v>
      </x:c>
      <x:c r="F30" s="13" t="str">
        <x:v>http_429_rate_limit</x:v>
      </x:c>
      <x:c r="G30" s="13" t="n">
        <x:v>41</x:v>
      </x:c>
      <x:c r="H30" s="13" t="str">
        <x:v>ses_fcec55634ffe68T4pSjkrS66V4</x:v>
      </x:c>
      <x:c r="I30" s="13" t="str">
        <x:v>shared rate-limit attempt excluded</x:v>
      </x:c>
    </x:row>
    <x:row r="31">
      <x:c r="A31" s="13" t="str">
        <x:v>429/限流</x:v>
      </x:c>
      <x:c r="B31" s="13" t="str">
        <x:v>noskill</x:v>
      </x:c>
      <x:c r="C31" s="13" t="n">
        <x:v>3</x:v>
      </x:c>
      <x:c r="D31" s="13" t="n">
        <x:v>9</x:v>
      </x:c>
      <x:c r="E31" s="13" t="str">
        <x:v>quarantined_rate_limit</x:v>
      </x:c>
      <x:c r="F31" s="13" t="str">
        <x:v>rate_limit_response</x:v>
      </x:c>
      <x:c r="G31" s="13" t="n">
        <x:v>49</x:v>
      </x:c>
      <x:c r="H31" s="13" t="str">
        <x:v>ses_fce74f2c9ffe2z6yY2k0XXpsAe</x:v>
      </x:c>
      <x:c r="I31" s="13" t="str">
        <x:v>shared rate-limit attempt excluded</x:v>
      </x:c>
    </x:row>
    <x:row r="32">
      <x:c r="A32" s="13" t="str">
        <x:v>429/限流</x:v>
      </x:c>
      <x:c r="B32" s="13" t="str">
        <x:v>noskill</x:v>
      </x:c>
      <x:c r="C32" s="13" t="n">
        <x:v>3</x:v>
      </x:c>
      <x:c r="D32" s="13" t="n">
        <x:v>10</x:v>
      </x:c>
      <x:c r="E32" s="13" t="str">
        <x:v>quarantined_rate_limit</x:v>
      </x:c>
      <x:c r="F32" s="13" t="str">
        <x:v>rate_limit_response</x:v>
      </x:c>
      <x:c r="G32" s="13" t="n">
        <x:v>36</x:v>
      </x:c>
      <x:c r="H32" s="13" t="str">
        <x:v>ses_fce65f399ffeA6VTKqEGpQdEQG</x:v>
      </x:c>
      <x:c r="I32" s="13" t="str">
        <x:v>shared rate-limit attempt excluded</x:v>
      </x:c>
    </x:row>
    <x:row r="33">
      <x:c r="A33" s="13" t="str">
        <x:v>控制器误判</x:v>
      </x:c>
      <x:c r="B33" s="13" t="str">
        <x:v>noskill</x:v>
      </x:c>
      <x:c r="C33" s="13" t="n">
        <x:v>3</x:v>
      </x:c>
      <x:c r="D33" s="13" t="n">
        <x:v>11</x:v>
      </x:c>
      <x:c r="E33" s="13" t="str">
        <x:v>quarantined_rate_limit</x:v>
      </x:c>
      <x:c r="F33" s="13" t="str">
        <x:v>rate_limit_response</x:v>
      </x:c>
      <x:c r="G33" s="13" t="n">
        <x:v>36</x:v>
      </x:c>
      <x:c r="H33" s="13" t="str">
        <x:v>ses_fce61b317ffe78tZzkf7ukdkVB</x:v>
      </x:c>
      <x:c r="I33" s="13" t="str">
        <x:v>controller false positive: bare 429 substring occurred inside OpenCode cost 0.00342978; raw attempt retained and manually re-verified</x:v>
      </x:c>
    </x:row>
    <x:row r="34">
      <x:c r="A34" s="13" t="str">
        <x:v>429/限流</x:v>
      </x:c>
      <x:c r="B34" s="13" t="str">
        <x:v>pd-vista</x:v>
      </x:c>
      <x:c r="C34" s="13" t="n">
        <x:v>1</x:v>
      </x:c>
      <x:c r="D34" s="13" t="n">
        <x:v>1</x:v>
      </x:c>
      <x:c r="E34" s="13" t="str">
        <x:v>quarantined_rate_limit</x:v>
      </x:c>
      <x:c r="F34" s="13" t="str">
        <x:v>rate_limit_response</x:v>
      </x:c>
      <x:c r="G34" s="13" t="n">
        <x:v>21</x:v>
      </x:c>
      <x:c r="H34" s="13" t="str">
        <x:v>ses_fd1376300ffexBOn1u1fDMAi64</x:v>
      </x:c>
      <x:c r="I34" s="13" t="str">
        <x:v>shared rate-limit attempt excluded</x:v>
      </x:c>
    </x:row>
    <x:row r="35">
      <x:c r="A35" s="13" t="str">
        <x:v>429/限流</x:v>
      </x:c>
      <x:c r="B35" s="13" t="str">
        <x:v>pd-vista</x:v>
      </x:c>
      <x:c r="C35" s="13" t="n">
        <x:v>2</x:v>
      </x:c>
      <x:c r="D35" s="13" t="n">
        <x:v>1</x:v>
      </x:c>
      <x:c r="E35" s="13" t="str">
        <x:v>quarantined_rate_limit</x:v>
      </x:c>
      <x:c r="F35" s="13" t="str">
        <x:v>rate_limit_response</x:v>
      </x:c>
      <x:c r="G35" s="13" t="n">
        <x:v>74</x:v>
      </x:c>
      <x:c r="H35" s="13" t="str">
        <x:v>ses_fd12a4b6affeiW2cuyt6HygkIe</x:v>
      </x:c>
      <x:c r="I35" s="13" t="str">
        <x:v>shared rate-limit attempt excluded</x:v>
      </x:c>
    </x:row>
    <x:row r="36">
      <x:c r="A36" s="13" t="str">
        <x:v>429/限流</x:v>
      </x:c>
      <x:c r="B36" s="13" t="str">
        <x:v>pd-vista</x:v>
      </x:c>
      <x:c r="C36" s="13" t="n">
        <x:v>3</x:v>
      </x:c>
      <x:c r="D36" s="13" t="n">
        <x:v>1</x:v>
      </x:c>
      <x:c r="E36" s="13" t="str">
        <x:v>quarantined_rate_limit</x:v>
      </x:c>
      <x:c r="F36" s="13" t="str">
        <x:v>rate_limit_response</x:v>
      </x:c>
      <x:c r="G36" s="13" t="n">
        <x:v>18</x:v>
      </x:c>
      <x:c r="H36" s="13" t="str">
        <x:v>ses_fd10a87fcffevt4utsJRY3raGT</x:v>
      </x:c>
      <x:c r="I36" s="13" t="str">
        <x:v>shared rate-limit attempt excluded</x:v>
      </x:c>
    </x:row>
    <x:row r="37">
      <x:c r="A37" s="13" t="str">
        <x:v>429/限流</x:v>
      </x:c>
      <x:c r="B37" s="13" t="str">
        <x:v>pd-vista</x:v>
      </x:c>
      <x:c r="C37" s="13" t="n">
        <x:v>3</x:v>
      </x:c>
      <x:c r="D37" s="13" t="n">
        <x:v>2</x:v>
      </x:c>
      <x:c r="E37" s="13" t="str">
        <x:v>quarantined_rate_limit</x:v>
      </x:c>
      <x:c r="F37" s="13" t="str">
        <x:v>http_429_rate_limit</x:v>
      </x:c>
      <x:c r="G37" s="13" t="n">
        <x:v>23</x:v>
      </x:c>
      <x:c r="H37" s="13" t="str">
        <x:v>ses_fd108bafeffegLub5MUi2gf4v8</x:v>
      </x:c>
      <x:c r="I37" s="13" t="str">
        <x:v>shared rate-limit attempt excluded</x:v>
      </x:c>
    </x:row>
    <x:row r="38">
      <x:c r="A38" s="13" t="str">
        <x:v>429/限流</x:v>
      </x:c>
      <x:c r="B38" s="13" t="str">
        <x:v>pd-vista</x:v>
      </x:c>
      <x:c r="C38" s="13" t="n">
        <x:v>3</x:v>
      </x:c>
      <x:c r="D38" s="13" t="n">
        <x:v>3</x:v>
      </x:c>
      <x:c r="E38" s="13" t="str">
        <x:v>quarantined_rate_limit</x:v>
      </x:c>
      <x:c r="F38" s="13" t="str">
        <x:v>http_429_rate_limit</x:v>
      </x:c>
      <x:c r="G38" s="13" t="n">
        <x:v>0</x:v>
      </x:c>
      <x:c r="H38" s="13" t="str">
        <x:v>ses_fd105930dffe089DVnrKOmH06S</x:v>
      </x:c>
      <x:c r="I38" s="13" t="str">
        <x:v>shared rate-limit attempt excluded</x:v>
      </x:c>
    </x:row>
    <x:row r="39">
      <x:c r="A39" s="13" t="str">
        <x:v>429/限流</x:v>
      </x:c>
      <x:c r="B39" s="13" t="str">
        <x:v>pd-vista</x:v>
      </x:c>
      <x:c r="C39" s="13" t="n">
        <x:v>3</x:v>
      </x:c>
      <x:c r="D39" s="13" t="n">
        <x:v>4</x:v>
      </x:c>
      <x:c r="E39" s="13" t="str">
        <x:v>quarantined_rate_limit</x:v>
      </x:c>
      <x:c r="F39" s="13" t="str">
        <x:v>http_429_rate_limit</x:v>
      </x:c>
      <x:c r="G39" s="13" t="n">
        <x:v>0</x:v>
      </x:c>
      <x:c r="H39" s="13" t="str">
        <x:v>ses_fd10462acffeUfrpZ9sYr6ftbD</x:v>
      </x:c>
      <x:c r="I39" s="13" t="str">
        <x:v>shared rate-limit attempt excluded</x:v>
      </x:c>
    </x:row>
    <x:row r="40">
      <x:c r="A40" s="13" t="str">
        <x:v>429/限流</x:v>
      </x:c>
      <x:c r="B40" s="13" t="str">
        <x:v>pd-vista</x:v>
      </x:c>
      <x:c r="C40" s="13" t="n">
        <x:v>3</x:v>
      </x:c>
      <x:c r="D40" s="13" t="n">
        <x:v>5</x:v>
      </x:c>
      <x:c r="E40" s="13" t="str">
        <x:v>quarantined_rate_limit</x:v>
      </x:c>
      <x:c r="F40" s="13" t="str">
        <x:v>http_429_rate_limit</x:v>
      </x:c>
      <x:c r="G40" s="13" t="n">
        <x:v>0</x:v>
      </x:c>
      <x:c r="H40" s="13" t="str">
        <x:v>ses_fd0f89494ffeTWdnGP9dDQjY32</x:v>
      </x:c>
      <x:c r="I40" s="13" t="str">
        <x:v>shared rate-limit attempt excluded</x:v>
      </x:c>
    </x:row>
    <x:row r="41">
      <x:c r="A41" s="13" t="str">
        <x:v>429/限流</x:v>
      </x:c>
      <x:c r="B41" s="13" t="str">
        <x:v>pd-vista</x:v>
      </x:c>
      <x:c r="C41" s="13" t="n">
        <x:v>3</x:v>
      </x:c>
      <x:c r="D41" s="13" t="n">
        <x:v>6</x:v>
      </x:c>
      <x:c r="E41" s="13" t="str">
        <x:v>quarantined_rate_limit</x:v>
      </x:c>
      <x:c r="F41" s="13" t="str">
        <x:v>http_429_rate_limit</x:v>
      </x:c>
      <x:c r="G41" s="13" t="n">
        <x:v>0</x:v>
      </x:c>
      <x:c r="H41" s="13" t="str">
        <x:v>ses_fd0f1acf5ffe3sVNBRA87ArvPB</x:v>
      </x:c>
      <x:c r="I41" s="13" t="str">
        <x:v>shared rate-limit attempt excluded</x:v>
      </x:c>
    </x:row>
    <x:row r="42">
      <x:c r="A42" s="13" t="str">
        <x:v>429/限流</x:v>
      </x:c>
      <x:c r="B42" s="13" t="str">
        <x:v>pd-vista</x:v>
      </x:c>
      <x:c r="C42" s="13" t="n">
        <x:v>3</x:v>
      </x:c>
      <x:c r="D42" s="13" t="n">
        <x:v>7</x:v>
      </x:c>
      <x:c r="E42" s="13" t="str">
        <x:v>quarantined_rate_limit</x:v>
      </x:c>
      <x:c r="F42" s="13" t="str">
        <x:v>http_429_rate_limit</x:v>
      </x:c>
      <x:c r="G42" s="13" t="n">
        <x:v>0</x:v>
      </x:c>
      <x:c r="H42" s="13" t="str">
        <x:v>ses_fd0e83aceffewAgLsqJFaVEVn2</x:v>
      </x:c>
      <x:c r="I42" s="13" t="str">
        <x:v>shared rate-limit attempt excluded</x:v>
      </x:c>
    </x:row>
    <x:row r="43">
      <x:c r="A43" s="13" t="str">
        <x:v>429/限流</x:v>
      </x:c>
      <x:c r="B43" s="13" t="str">
        <x:v>pd-vista</x:v>
      </x:c>
      <x:c r="C43" s="13" t="n">
        <x:v>3</x:v>
      </x:c>
      <x:c r="D43" s="13" t="n">
        <x:v>8</x:v>
      </x:c>
      <x:c r="E43" s="13" t="str">
        <x:v>quarantined_rate_limit</x:v>
      </x:c>
      <x:c r="F43" s="13" t="str">
        <x:v>rate_limit_response</x:v>
      </x:c>
      <x:c r="G43" s="13" t="n">
        <x:v>29</x:v>
      </x:c>
      <x:c r="H43" s="13" t="str">
        <x:v>ses_fcec7a4d1ffewH8SYz8Dsr6lJe</x:v>
      </x:c>
      <x:c r="I43" s="13" t="str">
        <x:v>shared rate-limit attempt excluded</x:v>
      </x:c>
    </x:row>
    <x:row r="44">
      <x:c r="A44" s="13" t="str">
        <x:v>429/限流</x:v>
      </x:c>
      <x:c r="B44" s="13" t="str">
        <x:v>pd-vista</x:v>
      </x:c>
      <x:c r="C44" s="13" t="n">
        <x:v>3</x:v>
      </x:c>
      <x:c r="D44" s="13" t="n">
        <x:v>9</x:v>
      </x:c>
      <x:c r="E44" s="13" t="str">
        <x:v>quarantined_rate_limit</x:v>
      </x:c>
      <x:c r="F44" s="13" t="str">
        <x:v>rate_limit_response</x:v>
      </x:c>
      <x:c r="G44" s="13" t="n">
        <x:v>36</x:v>
      </x:c>
      <x:c r="H44" s="13" t="str">
        <x:v>ses_fce79a8f3ffesuTeQpsIg1yp2F</x:v>
      </x:c>
      <x:c r="I44" s="13" t="str">
        <x:v>shared rate-limit attempt excluded</x:v>
      </x:c>
    </x:row>
  </x:sheetData>
  <x:mergeCells>
    <x:mergeCell ref="A1:I1"/>
    <x:mergeCell ref="A3:I3"/>
    <x:mergeCell ref="A9:I9"/>
  </x:mergeCells>
  <x:pageMargins left="0.7" right="0.7" top="0.75" bottom="0.75" header="0.3" footer="0.3"/>
  <x:tableParts count="1">
    <x:tablePart xmlns:r="http://schemas.openxmlformats.org/officeDocument/2006/relationships" r:id="R9cb4fec2ff1b46f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46" hidden="0" customWidth="1"/>
    <x:col min="3" max="3" width="50" hidden="0" customWidth="1"/>
    <x:col min="4" max="4" width="34" hidden="0" customWidth="1"/>
    <x:col min="5" max="5" width="16" hidden="0" customWidth="1"/>
    <x:col min="6" max="6" width="40" hidden="0" customWidth="1"/>
  </x:cols>
  <x:sheetData>
    <x:row r="1" ht="28" customHeight="1">
      <x:c r="A1" s="3" t="str">
        <x:v>字段映射与可审计来源</x:v>
      </x:c>
      <x:c r="B1" s="3" t="str">
        <x:v>字段映射与可审计来源</x:v>
      </x:c>
      <x:c r="C1" s="3" t="str">
        <x:v>字段映射与可审计来源</x:v>
      </x:c>
      <x:c r="D1" s="3" t="str">
        <x:v>字段映射与可审计来源</x:v>
      </x:c>
      <x:c r="E1" s="3" t="str">
        <x:v>字段映射与可审计来源</x:v>
      </x:c>
      <x:c r="F1" s="3" t="str">
        <x:v>字段映射与可审计来源</x:v>
      </x:c>
    </x:row>
    <x:row r="3">
      <x:c r="A3" s="7" t="str">
        <x:v>工作簿字段</x:v>
      </x:c>
      <x:c r="B3" s="7" t="str">
        <x:v>来源 JSON / 文件</x:v>
      </x:c>
      <x:c r="C3" s="7" t="str">
        <x:v>公式或填充规则</x:v>
      </x:c>
      <x:c r="D3" s="7" t="str">
        <x:v>审计用途</x:v>
      </x:c>
      <x:c r="E3" s="7" t="str">
        <x:v>类型</x:v>
      </x:c>
      <x:c r="F3" s="7" t="str">
        <x:v>备注</x:v>
      </x:c>
    </x:row>
    <x:row r="4">
      <x:c r="A4" s="13" t="str">
        <x:v>组ID</x:v>
      </x:c>
      <x:c r="B4" s="13" t="str">
        <x:v>posthoc-audit.trials.condition + replicate_id</x:v>
      </x:c>
      <x:c r="C4" s="13" t="str">
        <x:v>条件-两位重复编号</x:v>
      </x:c>
      <x:c r="D4" s="13" t="str">
        <x:v>唯一组键</x:v>
      </x:c>
      <x:c r="E4" s="13" t="str">
        <x:v>文本</x:v>
      </x:c>
      <x:c r="F4" s="13" t="str">
        <x:v>9组明细</x:v>
      </x:c>
    </x:row>
    <x:row r="5">
      <x:c r="A5" s="13" t="str">
        <x:v>最终 Verifier 通过</x:v>
      </x:c>
      <x:c r="B5" s="13" t="str">
        <x:v>trials.final_verifier_pass</x:v>
      </x:c>
      <x:c r="C5" s="13" t="str">
        <x:v>直接填充；汇总用 COUNTIF</x:v>
      </x:c>
      <x:c r="D5" s="13" t="str">
        <x:v>最终验收完整性</x:v>
      </x:c>
      <x:c r="E5" s="13" t="str">
        <x:v>布尔</x:v>
      </x:c>
      <x:c r="F5" s="13" t="str">
        <x:v>每组只计最终有效结果</x:v>
      </x:c>
    </x:row>
    <x:row r="6">
      <x:c r="A6" s="13" t="str">
        <x:v>输入 Token</x:v>
      </x:c>
      <x:c r="B6" s="13" t="str">
        <x:v>trials.usage.input_tokens</x:v>
      </x:c>
      <x:c r="C6" s="13" t="str">
        <x:v>直接填充；Token与成本用 SUMIF</x:v>
      </x:c>
      <x:c r="D6" s="13" t="str">
        <x:v>输入消耗</x:v>
      </x:c>
      <x:c r="E6" s="13" t="str">
        <x:v>数值</x:v>
      </x:c>
      <x:c r="F6" s="13" t="str">
        <x:v>OpenCode JSONL step_finish</x:v>
      </x:c>
    </x:row>
    <x:row r="7">
      <x:c r="A7" s="13" t="str">
        <x:v>输出 Token</x:v>
      </x:c>
      <x:c r="B7" s="13" t="str">
        <x:v>trials.usage.output_tokens</x:v>
      </x:c>
      <x:c r="C7" s="13" t="str">
        <x:v>直接填充；Token与成本用 SUMIF</x:v>
      </x:c>
      <x:c r="D7" s="13" t="str">
        <x:v>输出消耗</x:v>
      </x:c>
      <x:c r="E7" s="13" t="str">
        <x:v>数值</x:v>
      </x:c>
      <x:c r="F7" s="13" t="str">
        <x:v>OpenCode JSONL step_finish</x:v>
      </x:c>
    </x:row>
    <x:row r="8">
      <x:c r="A8" s="13" t="str">
        <x:v>缓存读取 Token</x:v>
      </x:c>
      <x:c r="B8" s="13" t="str">
        <x:v>trials.usage.cache_read_tokens</x:v>
      </x:c>
      <x:c r="C8" s="13" t="str">
        <x:v>直接填充；Token与成本用 SUMIF</x:v>
      </x:c>
      <x:c r="D8" s="13" t="str">
        <x:v>缓存读取量</x:v>
      </x:c>
      <x:c r="E8" s="13" t="str">
        <x:v>数值</x:v>
      </x:c>
      <x:c r="F8" s="13" t="str">
        <x:v>OpenCode JSONL step_finish</x:v>
      </x:c>
    </x:row>
    <x:row r="9">
      <x:c r="A9" s="13" t="str">
        <x:v>输入+输出 Token</x:v>
      </x:c>
      <x:c r="B9" s="13" t="str">
        <x:v>9组明细 O/P</x:v>
      </x:c>
      <x:c r="C9" s="13" t="str">
        <x:v>O列+P列（逐行）</x:v>
      </x:c>
      <x:c r="D9" s="13" t="str">
        <x:v>可复算 token 总量</x:v>
      </x:c>
      <x:c r="E9" s="13" t="str">
        <x:v>公式</x:v>
      </x:c>
      <x:c r="F9" s="13" t="str">
        <x:v>禁止硬编码汇总</x:v>
      </x:c>
    </x:row>
    <x:row r="10">
      <x:c r="A10" s="13" t="str">
        <x:v>DB 记录费用</x:v>
      </x:c>
      <x:c r="B10" s="13" t="str">
        <x:v>trials.opencode_db.recorded_cost</x:v>
      </x:c>
      <x:c r="C10" s="13" t="str">
        <x:v>只读 sqlite message.cost 求和</x:v>
      </x:c>
      <x:c r="D10" s="13" t="str">
        <x:v>OpenCode 记录费用</x:v>
      </x:c>
      <x:c r="E10" s="13" t="str">
        <x:v>数值</x:v>
      </x:c>
      <x:c r="F10" s="13" t="str">
        <x:v>每个隔离 opencode.db</x:v>
      </x:c>
    </x:row>
    <x:row r="11">
      <x:c r="A11" s="13" t="str">
        <x:v>Provider / Model</x:v>
      </x:c>
      <x:c r="B11" s="13" t="str">
        <x:v>trials.actual_provider_ids / actual_model_ids</x:v>
      </x:c>
      <x:c r="C11" s="13" t="str">
        <x:v>连接后事件审计 + DB 复核</x:v>
      </x:c>
      <x:c r="D11" s="13" t="str">
        <x:v>模型身份一致性</x:v>
      </x:c>
      <x:c r="E11" s="13" t="str">
        <x:v>文本</x:v>
      </x:c>
      <x:c r="F11" s="13" t="str">
        <x:v>当前 minimax-cn/MiniMax-M3</x:v>
      </x:c>
    </x:row>
    <x:row r="12">
      <x:c r="A12" s="13" t="str">
        <x:v>Session ID</x:v>
      </x:c>
      <x:c r="B12" s="13" t="str">
        <x:v>trials.session_id</x:v>
      </x:c>
      <x:c r="C12" s="13" t="str">
        <x:v>事件 sessionID 首次观察；跨轮一致</x:v>
      </x:c>
      <x:c r="D12" s="13" t="str">
        <x:v>独立会话审计</x:v>
      </x:c>
      <x:c r="E12" s="13" t="str">
        <x:v>文本</x:v>
      </x:c>
      <x:c r="F12" s="13" t="str">
        <x:v>9 个唯一 session</x:v>
      </x:c>
    </x:row>
    <x:row r="13">
      <x:c r="A13" s="13" t="str">
        <x:v>披露模块</x:v>
      </x:c>
      <x:c r="B13" s="13" t="str">
        <x:v>trials.disclosed_modules</x:v>
      </x:c>
      <x:c r="C13" s="13" t="str">
        <x:v>DisclosureRouter 每轮最多 1 个</x:v>
      </x:c>
      <x:c r="D13" s="13" t="str">
        <x:v>PD-VISTA 渐进披露</x:v>
      </x:c>
      <x:c r="E13" s="13" t="str">
        <x:v>文本</x:v>
      </x:c>
      <x:c r="F13" s="13" t="str">
        <x:v>隐藏源只读复用</x:v>
      </x:c>
    </x:row>
    <x:row r="14">
      <x:c r="A14" s="13" t="str">
        <x:v>下一轮实际访问</x:v>
      </x:c>
      <x:c r="B14" s="13" t="str">
        <x:v>trials.accessed_modules_after_disclosure</x:v>
      </x:c>
      <x:c r="C14" s="13" t="str">
        <x:v>事件中读取 SKILL.md 的模块交集</x:v>
      </x:c>
      <x:c r="D14" s="13" t="str">
        <x:v>PD-VISTA 闭环</x:v>
      </x:c>
      <x:c r="E14" s="13" t="str">
        <x:v>文本</x:v>
      </x:c>
      <x:c r="F14" s="13" t="str">
        <x:v>不以披露即访问代替</x:v>
      </x:c>
    </x:row>
    <x:row r="15">
      <x:c r="A15" s="13" t="str">
        <x:v>干净闭环</x:v>
      </x:c>
      <x:c r="B15" s="13" t="str">
        <x:v>trials.vista_metrics.clean_complete_closure</x:v>
      </x:c>
      <x:c r="C15" s="13" t="str">
        <x:v>披露后下一轮实际访问且最终通过</x:v>
      </x:c>
      <x:c r="D15" s="13" t="str">
        <x:v>PD-VISTA 质量检查</x:v>
      </x:c>
      <x:c r="E15" s="13" t="str">
        <x:v>数值</x:v>
      </x:c>
      <x:c r="F15" s="13" t="str">
        <x:v>0/1 per trial</x:v>
      </x:c>
    </x:row>
    <x:row r="16">
      <x:c r="A16" s="13" t="str">
        <x:v>429 attempt</x:v>
      </x:c>
      <x:c r="B16" s="13" t="str">
        <x:v>excluded_attempts[]</x:v>
      </x:c>
      <x:c r="C16" s="13" t="str">
        <x:v>隔离、重跑、排除</x:v>
      </x:c>
      <x:c r="D16" s="13" t="str">
        <x:v>限流透明审计</x:v>
      </x:c>
      <x:c r="E16" s="13" t="str">
        <x:v>数值/文本</x:v>
      </x:c>
      <x:c r="F16" s="13" t="str">
        <x:v>不计正式通过率与费用</x:v>
      </x:c>
    </x:row>
    <x:row r="17">
      <x:c r="A17" s="13" t="str">
        <x:v>Docker</x:v>
      </x:c>
      <x:c r="B17" s="13" t="str">
        <x:v>trials.docker_used</x:v>
      </x:c>
      <x:c r="C17" s="13" t="str">
        <x:v>固定 false + 汇总 QC</x:v>
      </x:c>
      <x:c r="D17" s="13" t="str">
        <x:v>执行路线约束</x:v>
      </x:c>
      <x:c r="E17" s="13" t="str">
        <x:v>布尔</x:v>
      </x:c>
      <x:c r="F17" s="13" t="str">
        <x:v>必须 false</x:v>
      </x:c>
    </x:row>
    <x:row r="18">
      <x:c r="A18" s="13" t="str">
        <x:v>SkillBench route</x:v>
      </x:c>
      <x:c r="B18" s="13" t="str">
        <x:v>trials.skillbench_execution_route_used</x:v>
      </x:c>
      <x:c r="C18" s="13" t="str">
        <x:v>固定 false + 汇总 QC</x:v>
      </x:c>
      <x:c r="D18" s="13" t="str">
        <x:v>执行路线约束</x:v>
      </x:c>
      <x:c r="E18" s="13" t="str">
        <x:v>布尔</x:v>
      </x:c>
      <x:c r="F18" s="13" t="str">
        <x:v>必须 false</x:v>
      </x:c>
    </x:row>
    <x:row r="19">
      <x:c r="A19" s="13" t="str">
        <x:v>源任务</x:v>
      </x:c>
      <x:c r="B19" s="13" t="str">
        <x:v>task.md + data-readme.md + openipf_cleaned.xlsx</x:v>
      </x:c>
      <x:c r="C19" s="13" t="str">
        <x:v>只读复制到每组 workspace</x:v>
      </x:c>
      <x:c r="D19" s="13" t="str">
        <x:v>材料一致性</x:v>
      </x:c>
      <x:c r="E19" s="13" t="str">
        <x:v>文件</x:v>
      </x:c>
      <x:c r="F19" s="13" t="str">
        <x:v>任务源资产</x:v>
      </x:c>
    </x:row>
    <x:row r="20">
      <x:c r="A20" s="13" t="str">
        <x:v>Verifier</x:v>
      </x:c>
      <x:c r="B20" s="13" t="str">
        <x:v>verifier/test_outputs.py</x:v>
      </x:c>
      <x:c r="C20" s="13" t="str">
        <x:v>路径别名重写，断言保持不变</x:v>
      </x:c>
      <x:c r="D20" s="13" t="str">
        <x:v>最终验收</x:v>
      </x:c>
      <x:c r="E20" s="13" t="str">
        <x:v>文件</x:v>
      </x:c>
      <x:c r="F20" s="13" t="str">
        <x:v>11 tests</x:v>
      </x:c>
    </x:row>
  </x:sheetData>
  <x:mergeCells>
    <x:mergeCell ref="A1:F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34" hidden="0" customWidth="1"/>
    <x:col min="4" max="4" width="60" hidden="0" customWidth="1"/>
  </x:cols>
  <x:sheetData>
    <x:row r="1" ht="28" customHeight="1">
      <x:c r="A1" s="3" t="str">
        <x:v>工作簿质量检查</x:v>
      </x:c>
      <x:c r="B1" s="3" t="str">
        <x:v>工作簿质量检查</x:v>
      </x:c>
      <x:c r="C1" s="3" t="str">
        <x:v>工作簿质量检查</x:v>
      </x:c>
      <x:c r="D1" s="3" t="str">
        <x:v>工作簿质量检查</x:v>
      </x:c>
    </x:row>
    <x:row r="3">
      <x:c r="A3" s="7" t="str">
        <x:v>检查项</x:v>
      </x:c>
      <x:c r="B3" s="7" t="str">
        <x:v>结果</x:v>
      </x:c>
      <x:c r="C3" s="7" t="str">
        <x:v>规则</x:v>
      </x:c>
      <x:c r="D3" s="7" t="str">
        <x:v>说明</x:v>
      </x:c>
    </x:row>
    <x:row r="4">
      <x:c r="A4" s="13" t="str">
        <x:v>计划组数</x:v>
      </x:c>
      <x:c r="B4" s="13" t="n">
        <x:v>9</x:v>
      </x:c>
      <x:c r="C4" s="13" t="str">
        <x:v>固定协议</x:v>
      </x:c>
      <x:c r="D4" s="13" t="str">
        <x:v>task4 要求 3 条件 × 3 重复</x:v>
      </x:c>
    </x:row>
    <x:row r="5">
      <x:c r="A5" s="13" t="str">
        <x:v>已完成结果文件</x:v>
      </x:c>
      <x:c r="B5" s="13" t="n">
        <x:f>COUNTA('9组明细'!I5:I13)</x:f>
        <x:v>9</x:v>
      </x:c>
      <x:c r="C5" s="13" t="n">
        <x:f>COUNTA('9组明细'!I5:I13)</x:f>
        <x:v>9</x:v>
      </x:c>
      <x:c r="D5" s="13" t="str">
        <x:v>9 个结果文件已归档并复核</x:v>
      </x:c>
    </x:row>
    <x:row r="6">
      <x:c r="A6" s="13" t="str">
        <x:v>最终 Verifier 通过</x:v>
      </x:c>
      <x:c r="B6" s="13" t="n">
        <x:f>SUMPRODUCT(--('9组明细'!J5:J13=TRUE))</x:f>
        <x:v>9</x:v>
      </x:c>
      <x:c r="C6" s="13" t="n">
        <x:f>SUMPRODUCT(--('9组明细'!J5:J13=TRUE))</x:f>
        <x:v>9</x:v>
      </x:c>
      <x:c r="D6" s="13" t="str">
        <x:v>9 组最终 Verifier 均通过</x:v>
      </x:c>
    </x:row>
    <x:row r="7">
      <x:c r="A7" s="13" t="str">
        <x:v>公式错误扫描</x:v>
      </x:c>
      <x:c r="B7" s="13" t="n">
        <x:v>0</x:v>
      </x:c>
      <x:c r="C7" s="13" t="str">
        <x:v>扫描 5 类常见错误</x:v>
      </x:c>
      <x:c r="D7" s="13" t="str">
        <x:v>由 artifact-tool inspect match 扫描</x:v>
      </x:c>
    </x:row>
    <x:row r="8">
      <x:c r="A8" s="13" t="str">
        <x:v>Docker 使用</x:v>
      </x:c>
      <x:c r="B8" s="15" t="b">
        <x:v>0</x:v>
      </x:c>
      <x:c r="C8" s="13" t="n">
        <x:f>SUMPRODUCT(--('9组明细'!AE5:AE13=TRUE))</x:f>
        <x:v>0</x:v>
      </x:c>
      <x:c r="D8" s="13" t="str">
        <x:v>应为 FALSE/0</x:v>
      </x:c>
    </x:row>
    <x:row r="9">
      <x:c r="A9" s="13" t="str">
        <x:v>SkillBench 路线</x:v>
      </x:c>
      <x:c r="B9" s="15" t="b">
        <x:v>0</x:v>
      </x:c>
      <x:c r="C9" s="13" t="n">
        <x:f>SUMPRODUCT(--('9组明细'!AF5:AF13=TRUE))</x:f>
        <x:v>0</x:v>
      </x:c>
      <x:c r="D9" s="13" t="str">
        <x:v>应为 FALSE/0</x:v>
      </x:c>
    </x:row>
  </x:sheetData>
  <x:mergeCells>
    <x:mergeCell ref="A1:D1"/>
  </x:mergeCells>
  <x:pageMargins left="0.7" right="0.7" top="0.75" bottom="0.75" header="0.3" footer="0.3"/>
</x:worksheet>
</file>