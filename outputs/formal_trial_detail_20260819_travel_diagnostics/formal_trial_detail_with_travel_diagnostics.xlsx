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33887e271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dced6e3fb9244d9"/>
    <x:sheet xmlns:r="http://schemas.openxmlformats.org/officeDocument/2006/relationships" name="逐 Trial 明细" sheetId="2" r:id="R731bc0228c8a4b87"/>
    <x:sheet xmlns:r="http://schemas.openxmlformats.org/officeDocument/2006/relationships" name="任务×条件" sheetId="3" r:id="R2aae97030ec647f6"/>
    <x:sheet xmlns:r="http://schemas.openxmlformats.org/officeDocument/2006/relationships" name="口径说明" sheetId="4" r:id="Rca169e1bf7ec470a"/>
    <x:sheet xmlns:r="http://schemas.openxmlformats.org/officeDocument/2006/relationships" name="未完整 task-002" sheetId="5" r:id="Rd3ae78de97184526"/>
    <x:sheet xmlns:r="http://schemas.openxmlformats.org/officeDocument/2006/relationships" name="Agent 访问与反馈路径" sheetId="6" r:id="R4995660b96834b95"/>
    <x:sheet xmlns:r="http://schemas.openxmlformats.org/officeDocument/2006/relationships" name="任务与 Skill 结构" sheetId="7" r:id="Rcf276e5b09b14fb6"/>
    <x:sheet xmlns:r="http://schemas.openxmlformats.org/officeDocument/2006/relationships" name="复测 task-003" sheetId="8" r:id="R4093e32ac25b44ee"/>
    <x:sheet xmlns:r="http://schemas.openxmlformats.org/officeDocument/2006/relationships" name="task-002 本机 v6.4" sheetId="9" r:id="R196d2266e93f4813"/>
    <x:sheet xmlns:r="http://schemas.openxmlformats.org/officeDocument/2006/relationships" name="travel VISTA 诊断" sheetId="10" r:id="R5b772cac90b7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0.0%"/>
    <x:numFmt numFmtId="203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sz val="11"/>
      <x:color rgb="FF203864"/>
      <x:name val="Carlito"/>
    </x:font>
    <x:font>
      <x:i/>
      <x:sz val="11"/>
      <x:color rgb="FF604800"/>
      <x:name val="Carlito"/>
    </x:font>
    <x:font>
      <x:i/>
      <x:sz val="11"/>
      <x:color rgb="FF5B6573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806000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4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201" fontId="0" fillId="7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/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/>
    <x:xf numFmtId="200" fontId="0" fillId="5" borderId="8" xfId="0" applyNumberFormat="1" applyFont="1" applyFill="1" applyBorder="1"/>
    <x:xf numFmtId="0" fontId="0" fillId="6" borderId="7" xfId="0" applyNumberFormat="1" applyFont="1" applyFill="1" applyBorder="1"/>
    <x:xf numFmtId="200" fontId="0" fillId="6" borderId="8" xfId="0" applyNumberFormat="1" applyFont="1" applyFill="1" applyBorder="1"/>
    <x:xf numFmtId="0" fontId="0" fillId="7" borderId="7" xfId="0" applyNumberFormat="1" applyFont="1" applyFill="1" applyBorder="1"/>
    <x:xf numFmtId="200" fontId="0" fillId="7" borderId="8" xfId="0" applyNumberFormat="1" applyFont="1" applyFill="1" applyBorder="1"/>
    <x:xf numFmtId="0" fontId="4" fillId="4" borderId="7" xfId="0" applyNumberFormat="1" applyFont="1" applyFill="1" applyBorder="1"/>
    <x:xf numFmtId="200" fontId="4" fillId="4" borderId="8" xfId="0" applyNumberFormat="1" applyFont="1" applyFill="1" applyBorder="1"/>
    <x:xf numFmtId="0" fontId="3" fillId="2" borderId="9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5" borderId="8" xfId="0" applyNumberFormat="1" applyFont="1" applyFill="1" applyBorder="1"/>
    <x:xf numFmtId="201" fontId="0" fillId="5" borderId="8" xfId="0" applyNumberFormat="1" applyFont="1" applyFill="1" applyBorder="1"/>
    <x:xf numFmtId="201" fontId="0" fillId="5" borderId="9" xfId="0" applyNumberFormat="1" applyFont="1" applyFill="1" applyBorder="1"/>
    <x:xf numFmtId="0" fontId="0" fillId="6" borderId="8" xfId="0" applyNumberFormat="1" applyFont="1" applyFill="1" applyBorder="1"/>
    <x:xf numFmtId="201" fontId="0" fillId="6" borderId="8" xfId="0" applyNumberFormat="1" applyFont="1" applyFill="1" applyBorder="1"/>
    <x:xf numFmtId="201" fontId="0" fillId="6" borderId="9" xfId="0" applyNumberFormat="1" applyFont="1" applyFill="1" applyBorder="1"/>
    <x:xf numFmtId="0" fontId="0" fillId="7" borderId="8" xfId="0" applyNumberFormat="1" applyFont="1" applyFill="1" applyBorder="1"/>
    <x:xf numFmtId="201" fontId="0" fillId="7" borderId="8" xfId="0" applyNumberFormat="1" applyFont="1" applyFill="1" applyBorder="1"/>
    <x:xf numFmtId="201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200" fontId="0" fillId="7" borderId="11" xfId="0" applyNumberFormat="1" applyFont="1" applyFill="1" applyBorder="1"/>
    <x:xf numFmtId="201" fontId="0" fillId="7" borderId="11" xfId="0" applyNumberFormat="1" applyFont="1" applyFill="1" applyBorder="1"/>
    <x:xf numFmtId="201" fontId="0" fillId="7" borderId="12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5" borderId="0" xfId="0" applyNumberFormat="1" applyFont="1" applyFill="1" applyBorder="1" applyAlignment="1">
      <x:alignment wrapText="0"/>
    </x:xf>
    <x:xf numFmtId="200" fontId="0" fillId="5" borderId="0" xfId="0" applyNumberFormat="1" applyFont="1" applyFill="1" applyBorder="1" applyAlignment="1">
      <x:alignment wrapText="0"/>
    </x:xf>
    <x:xf numFmtId="201" fontId="0" fillId="5" borderId="0" xfId="0" applyNumberFormat="1" applyFont="1" applyFill="1" applyBorder="1" applyAlignment="1">
      <x:alignment wrapText="0"/>
    </x:xf>
    <x:xf numFmtId="0" fontId="0" fillId="6" borderId="0" xfId="0" applyNumberFormat="1" applyFont="1" applyFill="1" applyBorder="1" applyAlignment="1">
      <x:alignment wrapText="0"/>
    </x:xf>
    <x:xf numFmtId="200" fontId="0" fillId="6" borderId="0" xfId="0" applyNumberFormat="1" applyFont="1" applyFill="1" applyBorder="1" applyAlignment="1">
      <x:alignment wrapText="0"/>
    </x:xf>
    <x:xf numFmtId="201" fontId="0" fillId="6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 applyAlignment="1">
      <x:alignment wrapText="0"/>
    </x:xf>
    <x:xf numFmtId="200" fontId="0" fillId="7" borderId="0" xfId="0" applyNumberFormat="1" applyFont="1" applyFill="1" applyBorder="1" applyAlignment="1">
      <x:alignment wrapText="0"/>
    </x:xf>
    <x:xf numFmtId="201" fontId="0" fillId="7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0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 applyAlignment="1">
      <x:alignment horizontal="center" vertical="center"/>
    </x:xf>
    <x:xf numFmtId="200" fontId="0" fillId="16" borderId="0" xfId="0" applyNumberFormat="1" applyFont="1" applyFill="1" applyBorder="1" applyAlignment="1">
      <x:alignment horizontal="center" vertical="center"/>
    </x:xf>
    <x:xf numFmtId="200" fontId="0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horizontal="center"/>
    </x:xf>
    <x:xf numFmtId="0" fontId="1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203" fontId="0" fillId="20" borderId="0" xfId="0" applyNumberFormat="1" applyFont="1" applyFill="1" applyBorder="1" applyAlignment="1">
      <x:alignment vertical="top" wrapText="1"/>
    </x:xf>
    <x:xf numFmtId="203" fontId="4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 applyAlignment="1">
      <x:alignment vertical="top" wrapText="1"/>
    </x:xf>
    <x:xf numFmtId="203" fontId="0" fillId="23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vertical="top" wrapText="1"/>
    </x:xf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wrapText="1"/>
    </x:xf>
    <x:xf numFmtId="0" fontId="9" fillId="21" borderId="0" xfId="0" applyNumberFormat="1" applyFont="1" applyFill="1" applyBorder="1" applyAlignment="1">
      <x:alignment vertical="center" wrapText="1"/>
    </x:xf>
    <x:xf numFmtId="0" fontId="3" fillId="19" borderId="13" xfId="0" applyNumberFormat="1" applyFont="1" applyFill="1" applyBorder="1" applyAlignment="1">
      <x:alignment horizontal="center"/>
    </x:xf>
    <x:xf numFmtId="0" fontId="0" fillId="20" borderId="13" xfId="0" applyNumberFormat="1" applyFont="1" applyFill="1" applyBorder="1" applyAlignment="1">
      <x:alignment vertical="top" wrapText="1"/>
    </x:xf>
    <x:xf numFmtId="203" fontId="0" fillId="20" borderId="13" xfId="0" applyNumberFormat="1" applyFont="1" applyFill="1" applyBorder="1" applyAlignment="1">
      <x:alignment vertical="top" wrapText="1"/>
    </x:xf>
    <x:xf numFmtId="0" fontId="4" fillId="21" borderId="13" xfId="0" applyNumberFormat="1" applyFont="1" applyFill="1" applyBorder="1"/>
    <x:xf numFmtId="203" fontId="4" fillId="21" borderId="13" xfId="0" applyNumberFormat="1" applyFont="1" applyFill="1" applyBorder="1"/>
    <x:xf numFmtId="0" fontId="3" fillId="19" borderId="13" xfId="0" applyNumberFormat="1" applyFont="1" applyFill="1" applyBorder="1" applyAlignment="1">
      <x:alignment horizontal="center" wrapText="1"/>
    </x:xf>
    <x:xf numFmtId="0" fontId="0" fillId="23" borderId="13" xfId="0" applyNumberFormat="1" applyFont="1" applyFill="1" applyBorder="1" applyAlignment="1">
      <x:alignment vertical="top" wrapText="1"/>
    </x:xf>
    <x:xf numFmtId="203" fontId="0" fillId="23" borderId="13" xfId="0" applyNumberFormat="1" applyFont="1" applyFill="1" applyBorder="1" applyAlignment="1">
      <x:alignment vertical="top" wrapText="1"/>
    </x:xf>
    <x:xf numFmtId="0" fontId="3" fillId="19" borderId="13" xfId="0" applyNumberFormat="1" applyFont="1" applyFill="1" applyBorder="1"/>
    <x:xf numFmtId="0" fontId="0" fillId="24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395072acc4e7a" /><Relationship Type="http://schemas.openxmlformats.org/officeDocument/2006/relationships/theme" Target="/xl/theme/theme1.xml" Id="R1faf0c8cdeb24505" /><Relationship Type="http://schemas.openxmlformats.org/officeDocument/2006/relationships/sharedStrings" Target="/xl/sharedStrings.xml" Id="Rd20c4c6493df451a" /><Relationship Type="http://schemas.openxmlformats.org/officeDocument/2006/relationships/worksheet" Target="/xl/worksheets/sheet1.xml" Id="R8dced6e3fb9244d9" /><Relationship Type="http://schemas.openxmlformats.org/officeDocument/2006/relationships/worksheet" Target="/xl/worksheets/sheet2.xml" Id="R731bc0228c8a4b87" /><Relationship Type="http://schemas.openxmlformats.org/officeDocument/2006/relationships/worksheet" Target="/xl/worksheets/sheet3.xml" Id="R2aae97030ec647f6" /><Relationship Type="http://schemas.openxmlformats.org/officeDocument/2006/relationships/worksheet" Target="/xl/worksheets/sheet4.xml" Id="Rca169e1bf7ec470a" /><Relationship Type="http://schemas.openxmlformats.org/officeDocument/2006/relationships/worksheet" Target="/xl/worksheets/sheet5.xml" Id="Rd3ae78de97184526" /><Relationship Type="http://schemas.openxmlformats.org/officeDocument/2006/relationships/worksheet" Target="/xl/worksheets/sheet6.xml" Id="R4995660b96834b95" /><Relationship Type="http://schemas.openxmlformats.org/officeDocument/2006/relationships/worksheet" Target="/xl/worksheets/sheet7.xml" Id="Rcf276e5b09b14fb6" /><Relationship Type="http://schemas.openxmlformats.org/officeDocument/2006/relationships/worksheet" Target="/xl/worksheets/sheet8.xml" Id="R4093e32ac25b44ee" /><Relationship Type="http://schemas.openxmlformats.org/officeDocument/2006/relationships/worksheet" Target="/xl/worksheets/sheet9.xml" Id="R196d2266e93f4813" /><Relationship Type="http://schemas.openxmlformats.org/officeDocument/2006/relationships/worksheet" Target="/xl/worksheets/sheet10.xml" Id="R5b772cac90b74775" /></Relationships>
</file>

<file path=xl/tables/table1.xml><?xml version="1.0" encoding="utf-8"?>
<x:table xmlns:x="http://schemas.openxmlformats.org/spreadsheetml/2006/main" id="1" name="TrialDetailTable" displayName="TrialDetailTable" ref="A1:P37" headerRowCount="1" totalsRowCount="0" totalsRowShown="0">
  <x:tableColumns count="16">
    <x:tableColumn id="1" name="任务"/>
    <x:tableColumn id="2" name="RunId"/>
    <x:tableColumn id="3" name="Trial ID"/>
    <x:tableColumn id="4" name="条件"/>
    <x:tableColumn id="5" name="Replicate"/>
    <x:tableColumn id="6" name="最终状态"/>
    <x:tableColumn id="7" name="完成路径"/>
    <x:tableColumn id="8" name="Agent 尝试"/>
    <x:tableColumn id="9" name="模型请求"/>
    <x:tableColumn id="10" name="工具调用"/>
    <x:tableColumn id="11" name="输入 Token"/>
    <x:tableColumn id="12" name="输出 Token"/>
    <x:tableColumn id="13" name="总 Token"/>
    <x:tableColumn id="14" name="时长（分钟）"/>
    <x:tableColumn id="15" name="终止事件来源"/>
    <x:tableColumn id="16" name="终止时间 UT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ompleteTask2Table" displayName="IncompleteTask2Table" ref="A4:P8" headerRowCount="1" totalsRowCount="0" totalsRowShown="0">
  <x:tableColumns count="16">
    <x:tableColumn id="1" name="任务"/>
    <x:tableColumn id="2" name="RunId"/>
    <x:tableColumn id="3" name="Trial ID"/>
    <x:tableColumn id="4" name="条件"/>
    <x:tableColumn id="5" name="Replicate"/>
    <x:tableColumn id="6" name="最终状态"/>
    <x:tableColumn id="7" name="是否计入总览"/>
    <x:tableColumn id="8" name="Quarantine 原因"/>
    <x:tableColumn id="9" name="Agent 尝试"/>
    <x:tableColumn id="10" name="模型请求"/>
    <x:tableColumn id="11" name="工具调用"/>
    <x:tableColumn id="12" name="输入 Token"/>
    <x:tableColumn id="13" name="输出 Token"/>
    <x:tableColumn id="14" name="总 Token"/>
    <x:tableColumn id="15" name="时长（分钟）"/>
    <x:tableColumn id="16" name="终止时间 UT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AgentFeedbackPathTable" displayName="AgentFeedbackPathTable" ref="A4:P44" headerRowCount="1" totalsRowCount="0" totalsRowShown="0">
  <x:tableColumns count="16">
    <x:tableColumn id="1" name="任务"/>
    <x:tableColumn id="2" name="条件"/>
    <x:tableColumn id="3" name="Replicate"/>
    <x:tableColumn id="4" name="最终状态"/>
    <x:tableColumn id="5" name="计入总览"/>
    <x:tableColumn id="6" name="事件路径"/>
    <x:tableColumn id="7" name="Agent 尝试"/>
    <x:tableColumn id="8" name="PD-VISTA 模块披露"/>
    <x:tableColumn id="9" name="反馈次数"/>
    <x:tableColumn id="10" name="反馈类型"/>
    <x:tableColumn id="11" name="Repair 次数"/>
    <x:tableColumn id="12" name="各次 Agent 执行（时长 / Token）"/>
    <x:tableColumn id="13" name="最终总 Token"/>
    <x:tableColumn id="14" name="全流程时长（分钟）"/>
    <x:tableColumn id="15" name="Quarantine 原因"/>
    <x:tableColumn id="16" name="Trial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askSkillStructureTable" displayName="TaskSkillStructureTable" ref="A4:I10" headerRowCount="1" totalsRowCount="0" totalsRowShown="0">
  <x:tableColumns count="9">
    <x:tableColumn id="1" name="任务"/>
    <x:tableColumn id="2" name="SkillsBench 基准任务"/>
    <x:tableColumn id="3" name="领域 / 工作流"/>
    <x:tableColumn id="4" name="能力目标"/>
    <x:tableColumn id="5" name="验证方式"/>
    <x:tableColumn id="6" name="No-Skill"/>
    <x:tableColumn id="7" name="Native：实际挂载内容"/>
    <x:tableColumn id="8" name="PD-VISTA：起始与运行期结构"/>
    <x:tableColumn id="9" name="模块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PdVistaModuleRoutingTable" displayName="PdVistaModuleRoutingTable" ref="A14:E34" headerRowCount="1" totalsRowCount="0" totalsRowShown="0">
  <x:tableColumns count="5">
    <x:tableColumn id="1" name="任务"/>
    <x:tableColumn id="2" name="模块 ID"/>
    <x:tableColumn id="3" name="公开反馈触发器"/>
    <x:tableColumn id="4" name="模块路径（materialization 后）"/>
    <x:tableColumn id="5" name="结构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Task3RepeatTable" displayName="Task3RepeatTable" ref="A4:P13" headerRowCount="1" totalsRowCount="0" totalsRowShown="0">
  <x:tableColumns count="16">
    <x:tableColumn id="1" name="任务"/>
    <x:tableColumn id="2" name="RunId"/>
    <x:tableColumn id="3" name="Trial ID"/>
    <x:tableColumn id="4" name="条件"/>
    <x:tableColumn id="5" name="Replicate"/>
    <x:tableColumn id="6" name="最终状态"/>
    <x:tableColumn id="7" name="统计归属"/>
    <x:tableColumn id="8" name="Agent 尝试"/>
    <x:tableColumn id="9" name="模型请求"/>
    <x:tableColumn id="10" name="工具调用"/>
    <x:tableColumn id="11" name="输入 Token"/>
    <x:tableColumn id="12" name="输出 Token"/>
    <x:tableColumn id="13" name="总 Token"/>
    <x:tableColumn id="14" name="时长（分钟）"/>
    <x:tableColumn id="15" name="终止时间 UTC"/>
    <x:tableColumn id="16" name="执行性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sk002V64ValidResults" displayName="Task002V64ValidResults" ref="A9:O12" headerRowCount="1" totalsRowCount="0" totalsRowShown="0">
  <x:tableColumns count="15">
    <x:tableColumn id="1" name="Replicate"/>
    <x:tableColumn id="2" name="最终状态"/>
    <x:tableColumn id="3" name="真实 verifier"/>
    <x:tableColumn id="4" name="轮次"/>
    <x:tableColumn id="5" name="模型请求"/>
    <x:tableColumn id="6" name="工具调用"/>
    <x:tableColumn id="7" name="输入 Token"/>
    <x:tableColumn id="8" name="输出 Token"/>
    <x:tableColumn id="9" name="总 Token"/>
    <x:tableColumn id="10" name="缓存读取 Token"/>
    <x:tableColumn id="11" name="触发机会"/>
    <x:tableColumn id="12" name="可路由反馈"/>
    <x:tableColumn id="13" name="成功披露"/>
    <x:tableColumn id="14" name="模块访问轮数"/>
    <x:tableColumn id="15" name="干净完整闭环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sk002V63InvalidDiagnostics" displayName="Task002V63InvalidDiagnostics" ref="A16:F19" headerRowCount="1" totalsRowCount="0" totalsRowShown="0">
  <x:tableColumns count="6">
    <x:tableColumn id="1" name="批次"/>
    <x:tableColumn id="2" name="Replicate"/>
    <x:tableColumn id="3" name="记录状态"/>
    <x:tableColumn id="4" name="无效原因"/>
    <x:tableColumn id="5" name="模型任务已运行"/>
    <x:tableColumn id="6" name="论文纳入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Task002V64NativeResults" displayName="Task002V64NativeResults" ref="A26:O29" headerRowCount="1" totalsRowCount="0" totalsRowShown="0">
  <x:tableColumns count="15">
    <x:tableColumn id="1" name="Replicate"/>
    <x:tableColumn id="2" name="最终状态"/>
    <x:tableColumn id="3" name="真实 verifier"/>
    <x:tableColumn id="4" name="轮次"/>
    <x:tableColumn id="5" name="模型请求"/>
    <x:tableColumn id="6" name="工具调用"/>
    <x:tableColumn id="7" name="输入 Token"/>
    <x:tableColumn id="8" name="输出 Token"/>
    <x:tableColumn id="9" name="总 Token"/>
    <x:tableColumn id="10" name="缓存读取 Token"/>
    <x:tableColumn id="11" name="公开反馈轮数"/>
    <x:tableColumn id="12" name="Parser/Router 路由"/>
    <x:tableColumn id="13" name="动态披露"/>
    <x:tableColumn id="14" name="Native Skill 访问轮数"/>
    <x:tableColumn id="15" name="最终通过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10" name="Task002V64ConditionComparison" displayName="Task002V64ConditionComparison" ref="A32:H34" headerRowCount="1" totalsRowCount="0" totalsRowShown="0">
  <x:tableColumns count="8">
    <x:tableColumn id="1" name="条件"/>
    <x:tableColumn id="2" name="Trial"/>
    <x:tableColumn id="3" name="最终通过"/>
    <x:tableColumn id="4" name="通过率"/>
    <x:tableColumn id="5" name="首轮完整 Skill 可见"/>
    <x:tableColumn id="6" name="首轮实际访问"/>
    <x:tableColumn id="7" name="动态披露"/>
    <x:tableColumn id="8" name="干净完整 VISTA 闭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a9f08b40d42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35dd7bf49194f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15c3a0df8ad47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03c9ce32eacb4013" /><Relationship Type="http://schemas.openxmlformats.org/officeDocument/2006/relationships/table" Target="/xl/tables/table5.xml" Id="Rdb036b6a4dbd43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96d7bca038841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bda493391d94fc2" /><Relationship Type="http://schemas.openxmlformats.org/officeDocument/2006/relationships/table" Target="/xl/tables/table8.xml" Id="R857a858455454dba" /><Relationship Type="http://schemas.openxmlformats.org/officeDocument/2006/relationships/table" Target="/xl/tables/table9.xml" Id="R9bc24e49d7a4411d" /><Relationship Type="http://schemas.openxmlformats.org/officeDocument/2006/relationships/table" Target="/xl/tables/table10.xml" Id="R9d8a61c204984f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3.75" hidden="0" customWidth="1"/>
    <x:col min="2" max="2" width="6.380000114440918" hidden="0" customWidth="1"/>
    <x:col min="3" max="3" width="5.5" hidden="0" customWidth="1"/>
    <x:col min="4" max="4" width="7.5" hidden="0" customWidth="1"/>
    <x:col min="5" max="5" width="7.880000114440918" hidden="0" customWidth="1"/>
    <x:col min="6" max="6" width="9.75" hidden="0" customWidth="1"/>
    <x:col min="7" max="7" width="8" hidden="0" customWidth="1"/>
    <x:col min="8" max="8" width="14" hidden="0" customWidth="1"/>
    <x:col min="9" max="9" width="11.5" hidden="0" customWidth="1"/>
  </x:cols>
  <x:sheetData>
    <x:row r="1" ht="19.200000762939453" hidden="0" customHeight="1">
      <x:c r="A1" s="40" t="str">
        <x:v>正式实验：完整任务组的细颗粒度执行与 Token 汇总</x:v>
      </x:c>
      <x:c r="B1" s="41"/>
      <x:c r="C1" s="41"/>
      <x:c r="D1" s="41"/>
      <x:c r="E1" s="41"/>
      <x:c r="F1" s="41"/>
      <x:c r="G1" s="41"/>
      <x:c r="H1" s="41"/>
      <x:c r="I1" s="42"/>
    </x:row>
    <x:row r="2" ht="15" hidden="0" customHeight="1">
      <x:c r="A2" s="43" t="str">
        <x:v>纳入：task-001（重跑）、task-003、task-004、task-005（重跑）。排除未完整组 task-002、task-006 及旧中断 RunId。</x:v>
      </x:c>
      <x:c r="B2" s="44"/>
      <x:c r="C2" s="44"/>
      <x:c r="D2" s="44"/>
      <x:c r="E2" s="44"/>
      <x:c r="F2" s="44"/>
      <x:c r="G2" s="44"/>
      <x:c r="H2" s="44"/>
      <x:c r="I2" s="45"/>
    </x:row>
    <x:row r="3">
      <x:c r="A3" s="46"/>
      <x:c r="B3" s="44"/>
      <x:c r="C3" s="44"/>
      <x:c r="D3" s="44"/>
      <x:c r="E3" s="44"/>
      <x:c r="F3" s="44"/>
      <x:c r="G3" s="44"/>
      <x:c r="H3" s="44"/>
      <x:c r="I3" s="45"/>
    </x:row>
    <x:row r="4" ht="15" hidden="0" customHeight="1">
      <x:c r="A4" s="47" t="str">
        <x:v>条件</x:v>
      </x:c>
      <x:c r="B4" s="48" t="str">
        <x:v>Trial</x:v>
      </x:c>
      <x:c r="C4" s="48" t="str">
        <x:v>通过</x:v>
      </x:c>
      <x:c r="D4" s="48" t="str">
        <x:v>失败</x:v>
      </x:c>
      <x:c r="E4" s="48" t="str">
        <x:v>首次通过</x:v>
      </x:c>
      <x:c r="F4" s="48" t="str">
        <x:v>修复后通过</x:v>
      </x:c>
      <x:c r="G4" s="48" t="str">
        <x:v>总 Token</x:v>
      </x:c>
      <x:c r="H4" s="48" t="str">
        <x:v>平均 Token / Trial</x:v>
      </x:c>
      <x:c r="I4" s="45"/>
    </x:row>
    <x:row r="5" ht="15" hidden="0" customHeight="1">
      <x:c r="A5" s="49" t="str">
        <x:v>No-Skill</x:v>
      </x:c>
      <x:c r="B5" s="50" t="n">
        <x:f>COUNTIF('逐 Trial 明细'!$D$2:$D$37,A5)</x:f>
        <x:v>12</x:v>
      </x:c>
      <x:c r="C5" s="50" t="n">
        <x:f>COUNTIFS('逐 Trial 明细'!$D$2:$D$37,A5,'逐 Trial 明细'!$F$2:$F$37,"pass")</x:f>
        <x:v>9</x:v>
      </x:c>
      <x:c r="D5" s="50" t="n">
        <x:f>COUNTIFS('逐 Trial 明细'!$D$2:$D$37,A5,'逐 Trial 明细'!$F$2:$F$37,"fail")</x:f>
        <x:v>3</x:v>
      </x:c>
      <x:c r="E5" s="50" t="n">
        <x:f>COUNTIFS('逐 Trial 明细'!$D$2:$D$37,A5,'逐 Trial 明细'!$G$2:$G$37,"首次尝试通过")</x:f>
        <x:v>8</x:v>
      </x:c>
      <x:c r="F5" s="50" t="n">
        <x:f>C5-E5</x:f>
        <x:v>1</x:v>
      </x:c>
      <x:c r="G5" s="50" t="n">
        <x:f>SUMIF('逐 Trial 明细'!$D$2:$D$37,A5,'逐 Trial 明细'!$M$2:$M$37)</x:f>
        <x:v>414436</x:v>
      </x:c>
      <x:c r="H5" s="50" t="n">
        <x:f>G5/B5</x:f>
        <x:v>34536.333333333336</x:v>
      </x:c>
      <x:c r="I5" s="45"/>
    </x:row>
    <x:row r="6" ht="15" hidden="0" customHeight="1">
      <x:c r="A6" s="51" t="str">
        <x:v>Native</x:v>
      </x:c>
      <x:c r="B6" s="52" t="n">
        <x:f>COUNTIF('逐 Trial 明细'!$D$2:$D$37,A6)</x:f>
        <x:v>12</x:v>
      </x:c>
      <x:c r="C6" s="52" t="n">
        <x:f>COUNTIFS('逐 Trial 明细'!$D$2:$D$37,A6,'逐 Trial 明细'!$F$2:$F$37,"pass")</x:f>
        <x:v>7</x:v>
      </x:c>
      <x:c r="D6" s="52" t="n">
        <x:f>COUNTIFS('逐 Trial 明细'!$D$2:$D$37,A6,'逐 Trial 明细'!$F$2:$F$37,"fail")</x:f>
        <x:v>5</x:v>
      </x:c>
      <x:c r="E6" s="52" t="n">
        <x:f>COUNTIFS('逐 Trial 明细'!$D$2:$D$37,A6,'逐 Trial 明细'!$G$2:$G$37,"首次尝试通过")</x:f>
        <x:v>7</x:v>
      </x:c>
      <x:c r="F6" s="52" t="n">
        <x:f>C6-E6</x:f>
        <x:v>0</x:v>
      </x:c>
      <x:c r="G6" s="52" t="n">
        <x:f>SUMIF('逐 Trial 明细'!$D$2:$D$37,A6,'逐 Trial 明细'!$M$2:$M$37)</x:f>
        <x:v>646444</x:v>
      </x:c>
      <x:c r="H6" s="52" t="n">
        <x:f>G6/B6</x:f>
        <x:v>53870.333333333336</x:v>
      </x:c>
      <x:c r="I6" s="45"/>
    </x:row>
    <x:row r="7" ht="15" hidden="0" customHeight="1">
      <x:c r="A7" s="53" t="str">
        <x:v>PD-VISTA</x:v>
      </x:c>
      <x:c r="B7" s="54" t="n">
        <x:f>COUNTIF('逐 Trial 明细'!$D$2:$D$37,A7)</x:f>
        <x:v>12</x:v>
      </x:c>
      <x:c r="C7" s="54" t="n">
        <x:f>COUNTIFS('逐 Trial 明细'!$D$2:$D$37,A7,'逐 Trial 明细'!$F$2:$F$37,"pass")</x:f>
        <x:v>6</x:v>
      </x:c>
      <x:c r="D7" s="54" t="n">
        <x:f>COUNTIFS('逐 Trial 明细'!$D$2:$D$37,A7,'逐 Trial 明细'!$F$2:$F$37,"fail")</x:f>
        <x:v>6</x:v>
      </x:c>
      <x:c r="E7" s="54" t="n">
        <x:f>COUNTIFS('逐 Trial 明细'!$D$2:$D$37,A7,'逐 Trial 明细'!$G$2:$G$37,"首次尝试通过")</x:f>
        <x:v>5</x:v>
      </x:c>
      <x:c r="F7" s="54" t="n">
        <x:f>C7-E7</x:f>
        <x:v>1</x:v>
      </x:c>
      <x:c r="G7" s="54" t="n">
        <x:f>SUMIF('逐 Trial 明细'!$D$2:$D$37,A7,'逐 Trial 明细'!$M$2:$M$37)</x:f>
        <x:v>608171</x:v>
      </x:c>
      <x:c r="H7" s="54" t="n">
        <x:f>G7/B7</x:f>
        <x:v>50680.916666666664</x:v>
      </x:c>
      <x:c r="I7" s="45"/>
    </x:row>
    <x:row r="8" ht="15" hidden="0" customHeight="1">
      <x:c r="A8" s="55" t="str">
        <x:v>合计</x:v>
      </x:c>
      <x:c r="B8" s="56" t="n">
        <x:f>SUM(B5:B7)</x:f>
        <x:v>36</x:v>
      </x:c>
      <x:c r="C8" s="56" t="n">
        <x:f>SUM(C5:C7)</x:f>
        <x:v>22</x:v>
      </x:c>
      <x:c r="D8" s="56" t="n">
        <x:f>SUM(D5:D7)</x:f>
        <x:v>14</x:v>
      </x:c>
      <x:c r="E8" s="56" t="n">
        <x:f>SUM(E5:E7)</x:f>
        <x:v>20</x:v>
      </x:c>
      <x:c r="F8" s="56" t="n">
        <x:f>SUM(F5:F7)</x:f>
        <x:v>2</x:v>
      </x:c>
      <x:c r="G8" s="56" t="n">
        <x:f>SUM(G5:G7)</x:f>
        <x:v>1669051</x:v>
      </x:c>
      <x:c r="H8" s="56" t="n">
        <x:f>G8/B8</x:f>
        <x:v>46362.52777777778</x:v>
      </x:c>
      <x:c r="I8" s="45"/>
    </x:row>
    <x:row r="9">
      <x:c r="A9" s="46"/>
      <x:c r="B9" s="44"/>
      <x:c r="C9" s="44"/>
      <x:c r="D9" s="44"/>
      <x:c r="E9" s="44"/>
      <x:c r="F9" s="44"/>
      <x:c r="G9" s="44"/>
      <x:c r="H9" s="44"/>
      <x:c r="I9" s="45"/>
    </x:row>
    <x:row r="10" ht="15" hidden="0" customHeight="1">
      <x:c r="A10" s="47" t="str">
        <x:v>任务</x:v>
      </x:c>
      <x:c r="B10" s="48" t="str">
        <x:v>No-Skill</x:v>
      </x:c>
      <x:c r="C10" s="48" t="str">
        <x:v>Native</x:v>
      </x:c>
      <x:c r="D10" s="48" t="str">
        <x:v>PD-VISTA</x:v>
      </x:c>
      <x:c r="E10" s="48" t="str">
        <x:v>通过</x:v>
      </x:c>
      <x:c r="F10" s="48" t="str">
        <x:v>失败</x:v>
      </x:c>
      <x:c r="G10" s="48" t="str">
        <x:v>总 Token</x:v>
      </x:c>
      <x:c r="H10" s="48" t="str">
        <x:v>总时长（分钟）</x:v>
      </x:c>
      <x:c r="I10" s="57" t="str">
        <x:v>平均尝试次数</x:v>
      </x:c>
    </x:row>
    <x:row r="11" ht="15" hidden="0" customHeight="1">
      <x:c r="A11" s="46" t="str">
        <x:v>task-001</x:v>
      </x:c>
      <x:c r="B11" s="44" t="str">
        <x:f>COUNTIFS('逐 Trial 明细'!$A$2:$A$37,$A11,'逐 Trial 明细'!$D$2:$D$37,B$10,'逐 Trial 明细'!$F$2:$F$37,"pass")&amp;"/3"</x:f>
        <x:v>3/3</x:v>
      </x:c>
      <x:c r="C11" s="44" t="str">
        <x:f>COUNTIFS('逐 Trial 明细'!$A$2:$A$37,$A11,'逐 Trial 明细'!$D$2:$D$37,C$10,'逐 Trial 明细'!$F$2:$F$37,"pass")&amp;"/3"</x:f>
        <x:v>3/3</x:v>
      </x:c>
      <x:c r="D11" s="44" t="str">
        <x:f>COUNTIFS('逐 Trial 明细'!$A$2:$A$37,$A11,'逐 Trial 明细'!$D$2:$D$37,D$10,'逐 Trial 明细'!$F$2:$F$37,"pass")&amp;"/3"</x:f>
        <x:v>2/3</x:v>
      </x:c>
      <x:c r="E11" s="58" t="n">
        <x:f>COUNTIFS('逐 Trial 明细'!$A$2:$A$37,$A11,'逐 Trial 明细'!$F$2:$F$37,"pass")</x:f>
        <x:v>8</x:v>
      </x:c>
      <x:c r="F11" s="58" t="n">
        <x:f>COUNTIFS('逐 Trial 明细'!$A$2:$A$37,$A11,'逐 Trial 明细'!$F$2:$F$37,"fail")</x:f>
        <x:v>1</x:v>
      </x:c>
      <x:c r="G11" s="58" t="n">
        <x:f>SUMIF('逐 Trial 明细'!$A$2:$A$37,$A11,'逐 Trial 明细'!$M$2:$M$37)</x:f>
        <x:v>420557</x:v>
      </x:c>
      <x:c r="H11" s="59" t="n">
        <x:f>SUMIF('逐 Trial 明细'!$A$2:$A$37,$A11,'逐 Trial 明细'!$N$2:$N$37)</x:f>
        <x:v>111.13697365296538</x:v>
      </x:c>
      <x:c r="I11" s="60" t="n">
        <x:f>AVERAGEIF('逐 Trial 明细'!$A$2:$A$37,$A11,'逐 Trial 明细'!$H$2:$H$37)</x:f>
        <x:v>1.3333333333333333</x:v>
      </x:c>
    </x:row>
    <x:row r="12" ht="15" hidden="0" customHeight="1">
      <x:c r="A12" s="46" t="str">
        <x:v>task-003</x:v>
      </x:c>
      <x:c r="B12" s="44" t="str">
        <x:f>COUNTIFS('逐 Trial 明细'!$A$2:$A$37,$A12,'逐 Trial 明细'!$D$2:$D$37,B$10,'逐 Trial 明细'!$F$2:$F$37,"pass")&amp;"/3"</x:f>
        <x:v>0/3</x:v>
      </x:c>
      <x:c r="C12" s="44" t="str">
        <x:f>COUNTIFS('逐 Trial 明细'!$A$2:$A$37,$A12,'逐 Trial 明细'!$D$2:$D$37,C$10,'逐 Trial 明细'!$F$2:$F$37,"pass")&amp;"/3"</x:f>
        <x:v>0/3</x:v>
      </x:c>
      <x:c r="D12" s="44" t="str">
        <x:f>COUNTIFS('逐 Trial 明细'!$A$2:$A$37,$A12,'逐 Trial 明细'!$D$2:$D$37,D$10,'逐 Trial 明细'!$F$2:$F$37,"pass")&amp;"/3"</x:f>
        <x:v>0/3</x:v>
      </x:c>
      <x:c r="E12" s="58" t="n">
        <x:f>COUNTIFS('逐 Trial 明细'!$A$2:$A$37,$A12,'逐 Trial 明细'!$F$2:$F$37,"pass")</x:f>
        <x:v>0</x:v>
      </x:c>
      <x:c r="F12" s="58" t="n">
        <x:f>COUNTIFS('逐 Trial 明细'!$A$2:$A$37,$A12,'逐 Trial 明细'!$F$2:$F$37,"fail")</x:f>
        <x:v>9</x:v>
      </x:c>
      <x:c r="G12" s="58" t="n">
        <x:f>SUMIF('逐 Trial 明细'!$A$2:$A$37,$A12,'逐 Trial 明细'!$M$2:$M$37)</x:f>
        <x:v>525117</x:v>
      </x:c>
      <x:c r="H12" s="59" t="n">
        <x:f>SUMIF('逐 Trial 明细'!$A$2:$A$37,$A12,'逐 Trial 明细'!$N$2:$N$37)</x:f>
        <x:v>143.32463407921654</x:v>
      </x:c>
      <x:c r="I12" s="60" t="n">
        <x:f>AVERAGEIF('逐 Trial 明细'!$A$2:$A$37,$A12,'逐 Trial 明细'!$H$2:$H$37)</x:f>
        <x:v>2.7777777777777777</x:v>
      </x:c>
    </x:row>
    <x:row r="13" ht="15" hidden="0" customHeight="1">
      <x:c r="A13" s="46" t="str">
        <x:v>task-004</x:v>
      </x:c>
      <x:c r="B13" s="44" t="str">
        <x:f>COUNTIFS('逐 Trial 明细'!$A$2:$A$37,$A13,'逐 Trial 明细'!$D$2:$D$37,B$10,'逐 Trial 明细'!$F$2:$F$37,"pass")&amp;"/3"</x:f>
        <x:v>3/3</x:v>
      </x:c>
      <x:c r="C13" s="44" t="str">
        <x:f>COUNTIFS('逐 Trial 明细'!$A$2:$A$37,$A13,'逐 Trial 明细'!$D$2:$D$37,C$10,'逐 Trial 明细'!$F$2:$F$37,"pass")&amp;"/3"</x:f>
        <x:v>2/3</x:v>
      </x:c>
      <x:c r="D13" s="44" t="str">
        <x:f>COUNTIFS('逐 Trial 明细'!$A$2:$A$37,$A13,'逐 Trial 明细'!$D$2:$D$37,D$10,'逐 Trial 明细'!$F$2:$F$37,"pass")&amp;"/3"</x:f>
        <x:v>3/3</x:v>
      </x:c>
      <x:c r="E13" s="58" t="n">
        <x:f>COUNTIFS('逐 Trial 明细'!$A$2:$A$37,$A13,'逐 Trial 明细'!$F$2:$F$37,"pass")</x:f>
        <x:v>8</x:v>
      </x:c>
      <x:c r="F13" s="58" t="n">
        <x:f>COUNTIFS('逐 Trial 明细'!$A$2:$A$37,$A13,'逐 Trial 明细'!$F$2:$F$37,"fail")</x:f>
        <x:v>1</x:v>
      </x:c>
      <x:c r="G13" s="58" t="n">
        <x:f>SUMIF('逐 Trial 明细'!$A$2:$A$37,$A13,'逐 Trial 明细'!$M$2:$M$37)</x:f>
        <x:v>292602</x:v>
      </x:c>
      <x:c r="H13" s="59" t="n">
        <x:f>SUMIF('逐 Trial 明细'!$A$2:$A$37,$A13,'逐 Trial 明细'!$N$2:$N$37)</x:f>
        <x:v>55.87285919805047</x:v>
      </x:c>
      <x:c r="I13" s="60" t="n">
        <x:f>AVERAGEIF('逐 Trial 明细'!$A$2:$A$37,$A13,'逐 Trial 明细'!$H$2:$H$37)</x:f>
        <x:v>1.2222222222222223</x:v>
      </x:c>
    </x:row>
    <x:row r="14" ht="15" hidden="0" customHeight="1">
      <x:c r="A14" s="61" t="str">
        <x:v>task-005</x:v>
      </x:c>
      <x:c r="B14" s="62" t="str">
        <x:f>COUNTIFS('逐 Trial 明细'!$A$2:$A$37,$A14,'逐 Trial 明细'!$D$2:$D$37,B$10,'逐 Trial 明细'!$F$2:$F$37,"pass")&amp;"/3"</x:f>
        <x:v>3/3</x:v>
      </x:c>
      <x:c r="C14" s="62" t="str">
        <x:f>COUNTIFS('逐 Trial 明细'!$A$2:$A$37,$A14,'逐 Trial 明细'!$D$2:$D$37,C$10,'逐 Trial 明细'!$F$2:$F$37,"pass")&amp;"/3"</x:f>
        <x:v>2/3</x:v>
      </x:c>
      <x:c r="D14" s="62" t="str">
        <x:f>COUNTIFS('逐 Trial 明细'!$A$2:$A$37,$A14,'逐 Trial 明细'!$D$2:$D$37,D$10,'逐 Trial 明细'!$F$2:$F$37,"pass")&amp;"/3"</x:f>
        <x:v>1/3</x:v>
      </x:c>
      <x:c r="E14" s="63" t="n">
        <x:f>COUNTIFS('逐 Trial 明细'!$A$2:$A$37,$A14,'逐 Trial 明细'!$F$2:$F$37,"pass")</x:f>
        <x:v>6</x:v>
      </x:c>
      <x:c r="F14" s="63" t="n">
        <x:f>COUNTIFS('逐 Trial 明细'!$A$2:$A$37,$A14,'逐 Trial 明细'!$F$2:$F$37,"fail")</x:f>
        <x:v>3</x:v>
      </x:c>
      <x:c r="G14" s="63" t="n">
        <x:f>SUMIF('逐 Trial 明细'!$A$2:$A$37,$A14,'逐 Trial 明细'!$M$2:$M$37)</x:f>
        <x:v>430775</x:v>
      </x:c>
      <x:c r="H14" s="64" t="n">
        <x:f>SUMIF('逐 Trial 明细'!$A$2:$A$37,$A14,'逐 Trial 明细'!$N$2:$N$37)</x:f>
        <x:v>112.39200220233325</x:v>
      </x:c>
      <x:c r="I14" s="65" t="n">
        <x:f>AVERAGEIF('逐 Trial 明细'!$A$2:$A$37,$A14,'逐 Trial 明细'!$H$2:$H$37)</x:f>
        <x:v>1.8888888888888888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42" hidden="0" customWidth="1"/>
    <x:col min="3" max="3" width="62" hidden="0" customWidth="1"/>
    <x:col min="4" max="4" width="7.380000114440918" hidden="0" customWidth="1"/>
    <x:col min="5" max="5" width="10" hidden="0" customWidth="1"/>
    <x:col min="6" max="6" width="10.380000114440918" hidden="0" customWidth="1"/>
    <x:col min="7" max="7" width="15.130000114440918" hidden="0" customWidth="1"/>
    <x:col min="8" max="8" width="11.630000114440918" hidden="0" customWidth="1"/>
    <x:col min="9" max="9" width="10.380000114440918" hidden="0" customWidth="1"/>
    <x:col min="10" max="10" width="10.380000114440918" hidden="0" customWidth="1"/>
    <x:col min="11" max="11" width="11.630000114440918" hidden="0" customWidth="1"/>
    <x:col min="12" max="12" width="11.630000114440918" hidden="0" customWidth="1"/>
    <x:col min="13" max="13" width="9.75" hidden="0" customWidth="1"/>
    <x:col min="14" max="14" width="14" hidden="0" customWidth="1"/>
    <x:col min="15" max="15" width="24" hidden="0" customWidth="1"/>
    <x:col min="16" max="16" width="28" hidden="0" customWidth="1"/>
  </x:cols>
  <x:sheetData>
    <x:row r="1" ht="15" hidden="0" customHeight="1">
      <x:c r="A1" s="83" t="str">
        <x:v>任务</x:v>
      </x:c>
      <x:c r="B1" s="83" t="str">
        <x:v>RunId</x:v>
      </x:c>
      <x:c r="C1" s="83" t="str">
        <x:v>Trial ID</x:v>
      </x:c>
      <x:c r="D1" s="83" t="str">
        <x:v>条件</x:v>
      </x:c>
      <x:c r="E1" s="83" t="str">
        <x:v>Replicate</x:v>
      </x:c>
      <x:c r="F1" s="83" t="str">
        <x:v>最终状态</x:v>
      </x:c>
      <x:c r="G1" s="83" t="str">
        <x:v>完成路径</x:v>
      </x:c>
      <x:c r="H1" s="83" t="str">
        <x:v>Agent 尝试</x:v>
      </x:c>
      <x:c r="I1" s="83" t="str">
        <x:v>模型请求</x:v>
      </x:c>
      <x:c r="J1" s="83" t="str">
        <x:v>工具调用</x:v>
      </x:c>
      <x:c r="K1" s="83" t="str">
        <x:v>输入 Token</x:v>
      </x:c>
      <x:c r="L1" s="83" t="str">
        <x:v>输出 Token</x:v>
      </x:c>
      <x:c r="M1" s="83" t="str">
        <x:v>总 Token</x:v>
      </x:c>
      <x:c r="N1" s="83" t="str">
        <x:v>时长（分钟）</x:v>
      </x:c>
      <x:c r="O1" s="83" t="str">
        <x:v>终止事件来源</x:v>
      </x:c>
      <x:c r="P1" s="83" t="str">
        <x:v>终止时间 UTC</x:v>
      </x:c>
    </x:row>
    <x:row r="2" ht="15" hidden="0" customHeight="1">
      <x:c r="A2" s="84" t="str">
        <x:v>task-001</x:v>
      </x:c>
      <x:c r="B2" s="84" t="str">
        <x:v>formal-20260805-opencode-v1-task-001-rerun-20260812</x:v>
      </x:c>
      <x:c r="C2" s="84" t="str">
        <x:v>formal-20260805-opencode-v1-task-001-rerun-20260812-task-001-noskill-01</x:v>
      </x:c>
      <x:c r="D2" s="84" t="str">
        <x:v>No-Skill</x:v>
      </x:c>
      <x:c r="E2" s="84" t="n">
        <x:v>1</x:v>
      </x:c>
      <x:c r="F2" s="84" t="str">
        <x:v>pass</x:v>
      </x:c>
      <x:c r="G2" s="84" t="str">
        <x:v>首次尝试通过</x:v>
      </x:c>
      <x:c r="H2" s="85" t="n">
        <x:v>1</x:v>
      </x:c>
      <x:c r="I2" s="85" t="n">
        <x:v>21</x:v>
      </x:c>
      <x:c r="J2" s="85" t="n">
        <x:v>24</x:v>
      </x:c>
      <x:c r="K2" s="85" t="n">
        <x:v>32117</x:v>
      </x:c>
      <x:c r="L2" s="85" t="n">
        <x:v>8527</x:v>
      </x:c>
      <x:c r="M2" s="85" t="n">
        <x:v>40644</x:v>
      </x:c>
      <x:c r="N2" s="86" t="n">
        <x:v>8.94565478919976</x:v>
      </x:c>
      <x:c r="O2" s="84" t="str">
        <x:v>skillsbench_verifier</x:v>
      </x:c>
      <x:c r="P2" s="84" t="n">
        <x:v>46246.0786246875</x:v>
      </x:c>
    </x:row>
    <x:row r="3" ht="15" hidden="0" customHeight="1">
      <x:c r="A3" s="87" t="str">
        <x:v>task-001</x:v>
      </x:c>
      <x:c r="B3" s="87" t="str">
        <x:v>formal-20260805-opencode-v1-task-001-rerun-20260812</x:v>
      </x:c>
      <x:c r="C3" s="87" t="str">
        <x:v>formal-20260805-opencode-v1-task-001-rerun-20260812-task-001-native-01</x:v>
      </x:c>
      <x:c r="D3" s="87" t="str">
        <x:v>Native</x:v>
      </x:c>
      <x:c r="E3" s="87" t="n">
        <x:v>1</x:v>
      </x:c>
      <x:c r="F3" s="87" t="str">
        <x:v>pass</x:v>
      </x:c>
      <x:c r="G3" s="87" t="str">
        <x:v>首次尝试通过</x:v>
      </x:c>
      <x:c r="H3" s="88" t="n">
        <x:v>1</x:v>
      </x:c>
      <x:c r="I3" s="88" t="n">
        <x:v>25</x:v>
      </x:c>
      <x:c r="J3" s="88" t="n">
        <x:v>41</x:v>
      </x:c>
      <x:c r="K3" s="88" t="n">
        <x:v>45412</x:v>
      </x:c>
      <x:c r="L3" s="88" t="n">
        <x:v>8849</x:v>
      </x:c>
      <x:c r="M3" s="88" t="n">
        <x:v>54261</x:v>
      </x:c>
      <x:c r="N3" s="89" t="n">
        <x:v>8.248837280116277</x:v>
      </x:c>
      <x:c r="O3" s="87" t="str">
        <x:v>skillsbench_verifier</x:v>
      </x:c>
      <x:c r="P3" s="87" t="n">
        <x:v>46246.08446119213</x:v>
      </x:c>
    </x:row>
    <x:row r="4" ht="15" hidden="0" customHeight="1">
      <x:c r="A4" s="90" t="str">
        <x:v>task-001</x:v>
      </x:c>
      <x:c r="B4" s="90" t="str">
        <x:v>formal-20260805-opencode-v1-task-001-rerun-20260812</x:v>
      </x:c>
      <x:c r="C4" s="90" t="str">
        <x:v>formal-20260805-opencode-v1-task-001-rerun-20260812-task-001-pd-vista-01</x:v>
      </x:c>
      <x:c r="D4" s="90" t="str">
        <x:v>PD-VISTA</x:v>
      </x:c>
      <x:c r="E4" s="90" t="n">
        <x:v>1</x:v>
      </x:c>
      <x:c r="F4" s="90" t="str">
        <x:v>pass</x:v>
      </x:c>
      <x:c r="G4" s="90" t="str">
        <x:v>首次尝试通过</x:v>
      </x:c>
      <x:c r="H4" s="91" t="n">
        <x:v>1</x:v>
      </x:c>
      <x:c r="I4" s="91" t="n">
        <x:v>26</x:v>
      </x:c>
      <x:c r="J4" s="91" t="n">
        <x:v>29</x:v>
      </x:c>
      <x:c r="K4" s="91" t="n">
        <x:v>29605</x:v>
      </x:c>
      <x:c r="L4" s="91" t="n">
        <x:v>8321</x:v>
      </x:c>
      <x:c r="M4" s="91" t="n">
        <x:v>37926</x:v>
      </x:c>
      <x:c r="N4" s="92" t="n">
        <x:v>11.677592949049721</x:v>
      </x:c>
      <x:c r="O4" s="90" t="str">
        <x:v>skillsbench_verifier</x:v>
      </x:c>
      <x:c r="P4" s="90" t="n">
        <x:v>46246.09269556713</x:v>
      </x:c>
    </x:row>
    <x:row r="5" ht="15" hidden="0" customHeight="1">
      <x:c r="A5" s="84" t="str">
        <x:v>task-001</x:v>
      </x:c>
      <x:c r="B5" s="84" t="str">
        <x:v>formal-20260805-opencode-v1-task-001-rerun-20260812</x:v>
      </x:c>
      <x:c r="C5" s="84" t="str">
        <x:v>formal-20260805-opencode-v1-task-001-rerun-20260812-task-001-noskill-02</x:v>
      </x:c>
      <x:c r="D5" s="84" t="str">
        <x:v>No-Skill</x:v>
      </x:c>
      <x:c r="E5" s="84" t="n">
        <x:v>2</x:v>
      </x:c>
      <x:c r="F5" s="84" t="str">
        <x:v>pass</x:v>
      </x:c>
      <x:c r="G5" s="84" t="str">
        <x:v>第 2 次尝试后通过</x:v>
      </x:c>
      <x:c r="H5" s="85" t="n">
        <x:v>2</x:v>
      </x:c>
      <x:c r="I5" s="85" t="n">
        <x:v>16</x:v>
      </x:c>
      <x:c r="J5" s="85" t="n">
        <x:v>22</x:v>
      </x:c>
      <x:c r="K5" s="85" t="n">
        <x:v>37269</x:v>
      </x:c>
      <x:c r="L5" s="85" t="n">
        <x:v>7348</x:v>
      </x:c>
      <x:c r="M5" s="85" t="n">
        <x:v>44617</x:v>
      </x:c>
      <x:c r="N5" s="86" t="n">
        <x:v>14.37994530734965</x:v>
      </x:c>
      <x:c r="O5" s="84" t="str">
        <x:v>skillsbench_verifier</x:v>
      </x:c>
      <x:c r="P5" s="84" t="n">
        <x:v>46246.11798891204</x:v>
      </x:c>
    </x:row>
    <x:row r="6" ht="15" hidden="0" customHeight="1">
      <x:c r="A6" s="87" t="str">
        <x:v>task-001</x:v>
      </x:c>
      <x:c r="B6" s="87" t="str">
        <x:v>formal-20260805-opencode-v1-task-001-rerun-20260812</x:v>
      </x:c>
      <x:c r="C6" s="87" t="str">
        <x:v>formal-20260805-opencode-v1-task-001-rerun-20260812-task-001-native-02</x:v>
      </x:c>
      <x:c r="D6" s="87" t="str">
        <x:v>Native</x:v>
      </x:c>
      <x:c r="E6" s="87" t="n">
        <x:v>2</x:v>
      </x:c>
      <x:c r="F6" s="87" t="str">
        <x:v>pass</x:v>
      </x:c>
      <x:c r="G6" s="87" t="str">
        <x:v>首次尝试通过</x:v>
      </x:c>
      <x:c r="H6" s="88" t="n">
        <x:v>1</x:v>
      </x:c>
      <x:c r="I6" s="88" t="n">
        <x:v>30</x:v>
      </x:c>
      <x:c r="J6" s="88" t="n">
        <x:v>41</x:v>
      </x:c>
      <x:c r="K6" s="88" t="n">
        <x:v>45486</x:v>
      </x:c>
      <x:c r="L6" s="88" t="n">
        <x:v>9739</x:v>
      </x:c>
      <x:c r="M6" s="88" t="n">
        <x:v>55225</x:v>
      </x:c>
      <x:c r="N6" s="89" t="n">
        <x:v>10.593217946500227</x:v>
      </x:c>
      <x:c r="O6" s="87" t="str">
        <x:v>skillsbench_verifier</x:v>
      </x:c>
      <x:c r="P6" s="87" t="n">
        <x:v>46246.100158518515</x:v>
      </x:c>
    </x:row>
    <x:row r="7" ht="15" hidden="0" customHeight="1">
      <x:c r="A7" s="90" t="str">
        <x:v>task-001</x:v>
      </x:c>
      <x:c r="B7" s="90" t="str">
        <x:v>formal-20260805-opencode-v1-task-001-rerun-20260812</x:v>
      </x:c>
      <x:c r="C7" s="90" t="str">
        <x:v>formal-20260805-opencode-v1-task-001-rerun-20260812-task-001-pd-vista-02</x:v>
      </x:c>
      <x:c r="D7" s="90" t="str">
        <x:v>PD-VISTA</x:v>
      </x:c>
      <x:c r="E7" s="90" t="n">
        <x:v>2</x:v>
      </x:c>
      <x:c r="F7" s="90" t="str">
        <x:v>pass</x:v>
      </x:c>
      <x:c r="G7" s="90" t="str">
        <x:v>首次尝试通过</x:v>
      </x:c>
      <x:c r="H7" s="91" t="n">
        <x:v>1</x:v>
      </x:c>
      <x:c r="I7" s="91" t="n">
        <x:v>30</x:v>
      </x:c>
      <x:c r="J7" s="91" t="n">
        <x:v>34</x:v>
      </x:c>
      <x:c r="K7" s="91" t="n">
        <x:v>27844</x:v>
      </x:c>
      <x:c r="L7" s="91" t="n">
        <x:v>9419</x:v>
      </x:c>
      <x:c r="M7" s="91" t="n">
        <x:v>37263</x:v>
      </x:c>
      <x:c r="N7" s="92" t="n">
        <x:v>10.987466939950052</x:v>
      </x:c>
      <x:c r="O7" s="90" t="str">
        <x:v>skillsbench_verifier</x:v>
      </x:c>
      <x:c r="P7" s="90" t="n">
        <x:v>46246.10791262732</x:v>
      </x:c>
    </x:row>
    <x:row r="8" ht="15" hidden="0" customHeight="1">
      <x:c r="A8" s="84" t="str">
        <x:v>task-001</x:v>
      </x:c>
      <x:c r="B8" s="84" t="str">
        <x:v>formal-20260805-opencode-v1-task-001-rerun-20260812</x:v>
      </x:c>
      <x:c r="C8" s="84" t="str">
        <x:v>formal-20260805-opencode-v1-task-001-rerun-20260812-task-001-noskill-03</x:v>
      </x:c>
      <x:c r="D8" s="84" t="str">
        <x:v>No-Skill</x:v>
      </x:c>
      <x:c r="E8" s="84" t="n">
        <x:v>3</x:v>
      </x:c>
      <x:c r="F8" s="84" t="str">
        <x:v>pass</x:v>
      </x:c>
      <x:c r="G8" s="84" t="str">
        <x:v>首次尝试通过</x:v>
      </x:c>
      <x:c r="H8" s="85" t="n">
        <x:v>1</x:v>
      </x:c>
      <x:c r="I8" s="85" t="n">
        <x:v>33</x:v>
      </x:c>
      <x:c r="J8" s="85" t="n">
        <x:v>35</x:v>
      </x:c>
      <x:c r="K8" s="85" t="n">
        <x:v>32592</x:v>
      </x:c>
      <x:c r="L8" s="85" t="n">
        <x:v>10359</x:v>
      </x:c>
      <x:c r="M8" s="85" t="n">
        <x:v>42951</x:v>
      </x:c>
      <x:c r="N8" s="86" t="n">
        <x:v>14.460477320366772</x:v>
      </x:c>
      <x:c r="O8" s="84" t="str">
        <x:v>skillsbench_verifier</x:v>
      </x:c>
      <x:c r="P8" s="84" t="n">
        <x:v>46246.14091214121</x:v>
      </x:c>
    </x:row>
    <x:row r="9" ht="15" hidden="0" customHeight="1">
      <x:c r="A9" s="87" t="str">
        <x:v>task-001</x:v>
      </x:c>
      <x:c r="B9" s="87" t="str">
        <x:v>formal-20260805-opencode-v1-task-001-rerun-20260812</x:v>
      </x:c>
      <x:c r="C9" s="87" t="str">
        <x:v>formal-20260805-opencode-v1-task-001-rerun-20260812-task-001-native-03</x:v>
      </x:c>
      <x:c r="D9" s="87" t="str">
        <x:v>Native</x:v>
      </x:c>
      <x:c r="E9" s="87" t="n">
        <x:v>3</x:v>
      </x:c>
      <x:c r="F9" s="87" t="str">
        <x:v>pass</x:v>
      </x:c>
      <x:c r="G9" s="87" t="str">
        <x:v>首次尝试通过</x:v>
      </x:c>
      <x:c r="H9" s="88" t="n">
        <x:v>1</x:v>
      </x:c>
      <x:c r="I9" s="88" t="n">
        <x:v>25</x:v>
      </x:c>
      <x:c r="J9" s="88" t="n">
        <x:v>33</x:v>
      </x:c>
      <x:c r="K9" s="88" t="n">
        <x:v>59509</x:v>
      </x:c>
      <x:c r="L9" s="88" t="n">
        <x:v>8032</x:v>
      </x:c>
      <x:c r="M9" s="88" t="n">
        <x:v>67541</x:v>
      </x:c>
      <x:c r="N9" s="89" t="n">
        <x:v>13.608735869166654</x:v>
      </x:c>
      <x:c r="O9" s="87" t="str">
        <x:v>skillsbench_verifier</x:v>
      </x:c>
      <x:c r="P9" s="87" t="n">
        <x:v>46246.1504694213</x:v>
      </x:c>
    </x:row>
    <x:row r="10" ht="15" hidden="0" customHeight="1">
      <x:c r="A10" s="90" t="str">
        <x:v>task-001</x:v>
      </x:c>
      <x:c r="B10" s="90" t="str">
        <x:v>formal-20260805-opencode-v1-task-001-rerun-20260812</x:v>
      </x:c>
      <x:c r="C10" s="90" t="str">
        <x:v>formal-20260805-opencode-v1-task-001-rerun-20260812-task-001-pd-vista-03</x:v>
      </x:c>
      <x:c r="D10" s="90" t="str">
        <x:v>PD-VISTA</x:v>
      </x:c>
      <x:c r="E10" s="90" t="n">
        <x:v>3</x:v>
      </x:c>
      <x:c r="F10" s="90" t="str">
        <x:v>fail</x:v>
      </x:c>
      <x:c r="G10" s="90" t="str">
        <x:v>第 3 次尝试后失败</x:v>
      </x:c>
      <x:c r="H10" s="91" t="n">
        <x:v>3</x:v>
      </x:c>
      <x:c r="I10" s="91" t="n">
        <x:v>45</x:v>
      </x:c>
      <x:c r="J10" s="91" t="n">
        <x:v>47</x:v>
      </x:c>
      <x:c r="K10" s="91" t="n">
        <x:v>19683</x:v>
      </x:c>
      <x:c r="L10" s="91" t="n">
        <x:v>20446</x:v>
      </x:c>
      <x:c r="M10" s="91" t="n">
        <x:v>40129</x:v>
      </x:c>
      <x:c r="N10" s="92" t="n">
        <x:v>18.235045251266275</x:v>
      </x:c>
      <x:c r="O10" s="90" t="str">
        <x:v>skillsbench_verifier</x:v>
      </x:c>
      <x:c r="P10" s="90" t="n">
        <x:v>46246.13077483796</x:v>
      </x:c>
    </x:row>
    <x:row r="11" ht="15" hidden="0" customHeight="1">
      <x:c r="A11" s="84" t="str">
        <x:v>task-003</x:v>
      </x:c>
      <x:c r="B11" s="84" t="str">
        <x:v>formal-20260805-opencode-v1-task-003</x:v>
      </x:c>
      <x:c r="C11" s="84" t="str">
        <x:v>formal-20260805-opencode-v1-task-003-task-003-noskill-01</x:v>
      </x:c>
      <x:c r="D11" s="84" t="str">
        <x:v>No-Skill</x:v>
      </x:c>
      <x:c r="E11" s="84" t="n">
        <x:v>1</x:v>
      </x:c>
      <x:c r="F11" s="84" t="str">
        <x:v>fail</x:v>
      </x:c>
      <x:c r="G11" s="84" t="str">
        <x:v>第 3 次尝试后失败</x:v>
      </x:c>
      <x:c r="H11" s="85" t="n">
        <x:v>3</x:v>
      </x:c>
      <x:c r="I11" s="85" t="n">
        <x:v>84</x:v>
      </x:c>
      <x:c r="J11" s="85" t="n">
        <x:v>87</x:v>
      </x:c>
      <x:c r="K11" s="85" t="n">
        <x:v>30173</x:v>
      </x:c>
      <x:c r="L11" s="85" t="n">
        <x:v>27184</x:v>
      </x:c>
      <x:c r="M11" s="85" t="n">
        <x:v>57357</x:v>
      </x:c>
      <x:c r="N11" s="86" t="n">
        <x:v>13.950074878350035</x:v>
      </x:c>
      <x:c r="O11" s="84" t="str">
        <x:v>skillsbench_verifier</x:v>
      </x:c>
      <x:c r="P11" s="84" t="n">
        <x:v>46245.22040938657</x:v>
      </x:c>
    </x:row>
    <x:row r="12" ht="15" hidden="0" customHeight="1">
      <x:c r="A12" s="87" t="str">
        <x:v>task-003</x:v>
      </x:c>
      <x:c r="B12" s="87" t="str">
        <x:v>formal-20260805-opencode-v1-task-003</x:v>
      </x:c>
      <x:c r="C12" s="87" t="str">
        <x:v>formal-20260805-opencode-v1-task-003-task-003-native-01</x:v>
      </x:c>
      <x:c r="D12" s="87" t="str">
        <x:v>Native</x:v>
      </x:c>
      <x:c r="E12" s="87" t="n">
        <x:v>1</x:v>
      </x:c>
      <x:c r="F12" s="87" t="str">
        <x:v>fail</x:v>
      </x:c>
      <x:c r="G12" s="87" t="str">
        <x:v>第 3 次尝试后失败</x:v>
      </x:c>
      <x:c r="H12" s="88" t="n">
        <x:v>3</x:v>
      </x:c>
      <x:c r="I12" s="88" t="n">
        <x:v>91</x:v>
      </x:c>
      <x:c r="J12" s="88" t="n">
        <x:v>96</x:v>
      </x:c>
      <x:c r="K12" s="88" t="n">
        <x:v>28291</x:v>
      </x:c>
      <x:c r="L12" s="88" t="n">
        <x:v>29668</x:v>
      </x:c>
      <x:c r="M12" s="88" t="n">
        <x:v>57959</x:v>
      </x:c>
      <x:c r="N12" s="89" t="n">
        <x:v>15.575877813149903</x:v>
      </x:c>
      <x:c r="O12" s="87" t="str">
        <x:v>skillsbench_verifier</x:v>
      </x:c>
      <x:c r="P12" s="87" t="n">
        <x:v>46245.23137141204</x:v>
      </x:c>
    </x:row>
    <x:row r="13" ht="15" hidden="0" customHeight="1">
      <x:c r="A13" s="90" t="str">
        <x:v>task-003</x:v>
      </x:c>
      <x:c r="B13" s="90" t="str">
        <x:v>formal-20260805-opencode-v1-task-003</x:v>
      </x:c>
      <x:c r="C13" s="90" t="str">
        <x:v>formal-20260805-opencode-v1-task-003-task-003-pd-vista-01</x:v>
      </x:c>
      <x:c r="D13" s="90" t="str">
        <x:v>PD-VISTA</x:v>
      </x:c>
      <x:c r="E13" s="90" t="n">
        <x:v>1</x:v>
      </x:c>
      <x:c r="F13" s="90" t="str">
        <x:v>fail</x:v>
      </x:c>
      <x:c r="G13" s="90" t="str">
        <x:v>第 3 次尝试后失败</x:v>
      </x:c>
      <x:c r="H13" s="91" t="n">
        <x:v>3</x:v>
      </x:c>
      <x:c r="I13" s="91" t="n">
        <x:v>63</x:v>
      </x:c>
      <x:c r="J13" s="91" t="n">
        <x:v>70</x:v>
      </x:c>
      <x:c r="K13" s="91" t="n">
        <x:v>37468</x:v>
      </x:c>
      <x:c r="L13" s="91" t="n">
        <x:v>25375</x:v>
      </x:c>
      <x:c r="M13" s="91" t="n">
        <x:v>62843</x:v>
      </x:c>
      <x:c r="N13" s="92" t="n">
        <x:v>15.693200036800409</x:v>
      </x:c>
      <x:c r="O13" s="90" t="str">
        <x:v>skillsbench_verifier</x:v>
      </x:c>
      <x:c r="P13" s="90" t="n">
        <x:v>46245.21057737269</x:v>
      </x:c>
    </x:row>
    <x:row r="14" ht="15" hidden="0" customHeight="1">
      <x:c r="A14" s="84" t="str">
        <x:v>task-003</x:v>
      </x:c>
      <x:c r="B14" s="84" t="str">
        <x:v>formal-20260805-opencode-v1-task-003</x:v>
      </x:c>
      <x:c r="C14" s="84" t="str">
        <x:v>formal-20260805-opencode-v1-task-003-task-003-noskill-02</x:v>
      </x:c>
      <x:c r="D14" s="84" t="str">
        <x:v>No-Skill</x:v>
      </x:c>
      <x:c r="E14" s="84" t="n">
        <x:v>2</x:v>
      </x:c>
      <x:c r="F14" s="84" t="str">
        <x:v>fail</x:v>
      </x:c>
      <x:c r="G14" s="84" t="str">
        <x:v>第 3 次尝试后失败</x:v>
      </x:c>
      <x:c r="H14" s="85" t="n">
        <x:v>3</x:v>
      </x:c>
      <x:c r="I14" s="85" t="n">
        <x:v>62</x:v>
      </x:c>
      <x:c r="J14" s="85" t="n">
        <x:v>59</x:v>
      </x:c>
      <x:c r="K14" s="85" t="n">
        <x:v>16646</x:v>
      </x:c>
      <x:c r="L14" s="85" t="n">
        <x:v>31063</x:v>
      </x:c>
      <x:c r="M14" s="85" t="n">
        <x:v>47709</x:v>
      </x:c>
      <x:c r="N14" s="86" t="n">
        <x:v>15.547541345232942</x:v>
      </x:c>
      <x:c r="O14" s="84" t="str">
        <x:v>skillsbench_verifier</x:v>
      </x:c>
      <x:c r="P14" s="84" t="n">
        <x:v>46245.24227166667</x:v>
      </x:c>
    </x:row>
    <x:row r="15" ht="15" hidden="0" customHeight="1">
      <x:c r="A15" s="87" t="str">
        <x:v>task-003</x:v>
      </x:c>
      <x:c r="B15" s="87" t="str">
        <x:v>formal-20260805-opencode-v1-task-003</x:v>
      </x:c>
      <x:c r="C15" s="87" t="str">
        <x:v>formal-20260805-opencode-v1-task-003-task-003-native-02</x:v>
      </x:c>
      <x:c r="D15" s="87" t="str">
        <x:v>Native</x:v>
      </x:c>
      <x:c r="E15" s="87" t="n">
        <x:v>2</x:v>
      </x:c>
      <x:c r="F15" s="87" t="str">
        <x:v>fail</x:v>
      </x:c>
      <x:c r="G15" s="87" t="str">
        <x:v>第 3 次尝试后失败</x:v>
      </x:c>
      <x:c r="H15" s="88" t="n">
        <x:v>3</x:v>
      </x:c>
      <x:c r="I15" s="88" t="n">
        <x:v>80</x:v>
      </x:c>
      <x:c r="J15" s="88" t="n">
        <x:v>82</x:v>
      </x:c>
      <x:c r="K15" s="88" t="n">
        <x:v>29828</x:v>
      </x:c>
      <x:c r="L15" s="88" t="n">
        <x:v>35778</x:v>
      </x:c>
      <x:c r="M15" s="88" t="n">
        <x:v>65606</x:v>
      </x:c>
      <x:c r="N15" s="89" t="n">
        <x:v>31.123824849783464</x:v>
      </x:c>
      <x:c r="O15" s="87" t="str">
        <x:v>skillsbench_verifier</x:v>
      </x:c>
      <x:c r="P15" s="87" t="n">
        <x:v>46245.263990231484</x:v>
      </x:c>
    </x:row>
    <x:row r="16" ht="15" hidden="0" customHeight="1">
      <x:c r="A16" s="90" t="str">
        <x:v>task-003</x:v>
      </x:c>
      <x:c r="B16" s="90" t="str">
        <x:v>formal-20260805-opencode-v1-task-003</x:v>
      </x:c>
      <x:c r="C16" s="90" t="str">
        <x:v>formal-20260805-opencode-v1-task-003-task-003-pd-vista-02</x:v>
      </x:c>
      <x:c r="D16" s="90" t="str">
        <x:v>PD-VISTA</x:v>
      </x:c>
      <x:c r="E16" s="90" t="n">
        <x:v>2</x:v>
      </x:c>
      <x:c r="F16" s="90" t="str">
        <x:v>fail</x:v>
      </x:c>
      <x:c r="G16" s="90" t="str">
        <x:v>第 3 次尝试后失败</x:v>
      </x:c>
      <x:c r="H16" s="91" t="n">
        <x:v>3</x:v>
      </x:c>
      <x:c r="I16" s="91" t="n">
        <x:v>76</x:v>
      </x:c>
      <x:c r="J16" s="91" t="n">
        <x:v>77</x:v>
      </x:c>
      <x:c r="K16" s="91" t="n">
        <x:v>26956</x:v>
      </x:c>
      <x:c r="L16" s="91" t="n">
        <x:v>31737</x:v>
      </x:c>
      <x:c r="M16" s="91" t="n">
        <x:v>58693</x:v>
      </x:c>
      <x:c r="N16" s="92" t="n">
        <x:v>14.619610003499838</x:v>
      </x:c>
      <x:c r="O16" s="90" t="str">
        <x:v>skillsbench_verifier</x:v>
      </x:c>
      <x:c r="P16" s="90" t="n">
        <x:v>46245.27427519676</x:v>
      </x:c>
    </x:row>
    <x:row r="17" ht="15" hidden="0" customHeight="1">
      <x:c r="A17" s="84" t="str">
        <x:v>task-003</x:v>
      </x:c>
      <x:c r="B17" s="84" t="str">
        <x:v>formal-20260805-opencode-v1-task-003</x:v>
      </x:c>
      <x:c r="C17" s="84" t="str">
        <x:v>formal-20260805-opencode-v1-task-003-task-003-noskill-03</x:v>
      </x:c>
      <x:c r="D17" s="84" t="str">
        <x:v>No-Skill</x:v>
      </x:c>
      <x:c r="E17" s="84" t="n">
        <x:v>3</x:v>
      </x:c>
      <x:c r="F17" s="84" t="str">
        <x:v>fail</x:v>
      </x:c>
      <x:c r="G17" s="84" t="str">
        <x:v>第 3 次尝试后失败</x:v>
      </x:c>
      <x:c r="H17" s="85" t="n">
        <x:v>3</x:v>
      </x:c>
      <x:c r="I17" s="85" t="n">
        <x:v>97</x:v>
      </x:c>
      <x:c r="J17" s="85" t="n">
        <x:v>94</x:v>
      </x:c>
      <x:c r="K17" s="85" t="n">
        <x:v>25286</x:v>
      </x:c>
      <x:c r="L17" s="85" t="n">
        <x:v>29444</x:v>
      </x:c>
      <x:c r="M17" s="85" t="n">
        <x:v>54730</x:v>
      </x:c>
      <x:c r="N17" s="86" t="n">
        <x:v>15.468678243366593</x:v>
      </x:c>
      <x:c r="O17" s="84" t="str">
        <x:v>skillsbench_verifier</x:v>
      </x:c>
      <x:c r="P17" s="84" t="n">
        <x:v>46245.30017563658</x:v>
      </x:c>
    </x:row>
    <x:row r="18" ht="15" hidden="0" customHeight="1">
      <x:c r="A18" s="87" t="str">
        <x:v>task-003</x:v>
      </x:c>
      <x:c r="B18" s="87" t="str">
        <x:v>formal-20260805-opencode-v1-task-003</x:v>
      </x:c>
      <x:c r="C18" s="87" t="str">
        <x:v>formal-20260805-opencode-v1-task-003-task-003-native-03</x:v>
      </x:c>
      <x:c r="D18" s="87" t="str">
        <x:v>Native</x:v>
      </x:c>
      <x:c r="E18" s="87" t="n">
        <x:v>3</x:v>
      </x:c>
      <x:c r="F18" s="87" t="str">
        <x:v>fail</x:v>
      </x:c>
      <x:c r="G18" s="87" t="str">
        <x:v>第 1 次尝试后失败</x:v>
      </x:c>
      <x:c r="H18" s="88" t="n">
        <x:v>1</x:v>
      </x:c>
      <x:c r="I18" s="88" t="n">
        <x:v>32</x:v>
      </x:c>
      <x:c r="J18" s="88" t="n">
        <x:v>38</x:v>
      </x:c>
      <x:c r="K18" s="88" t="n">
        <x:v>16981</x:v>
      </x:c>
      <x:c r="L18" s="88" t="n">
        <x:v>13523</x:v>
      </x:c>
      <x:c r="M18" s="88" t="n">
        <x:v>30504</x:v>
      </x:c>
      <x:c r="N18" s="89" t="n">
        <x:v>4.747615899849916</x:v>
      </x:c>
      <x:c r="O18" s="87" t="str">
        <x:v>skillsbench_verifier</x:v>
      </x:c>
      <x:c r="P18" s="87" t="n">
        <x:v>46245.27768607639</x:v>
      </x:c>
    </x:row>
    <x:row r="19" ht="15" hidden="0" customHeight="1">
      <x:c r="A19" s="90" t="str">
        <x:v>task-003</x:v>
      </x:c>
      <x:c r="B19" s="90" t="str">
        <x:v>formal-20260805-opencode-v1-task-003</x:v>
      </x:c>
      <x:c r="C19" s="90" t="str">
        <x:v>formal-20260805-opencode-v1-task-003-task-003-pd-vista-03</x:v>
      </x:c>
      <x:c r="D19" s="90" t="str">
        <x:v>PD-VISTA</x:v>
      </x:c>
      <x:c r="E19" s="90" t="n">
        <x:v>3</x:v>
      </x:c>
      <x:c r="F19" s="90" t="str">
        <x:v>fail</x:v>
      </x:c>
      <x:c r="G19" s="90" t="str">
        <x:v>第 3 次尝试后失败</x:v>
      </x:c>
      <x:c r="H19" s="91" t="n">
        <x:v>3</x:v>
      </x:c>
      <x:c r="I19" s="91" t="n">
        <x:v>94</x:v>
      </x:c>
      <x:c r="J19" s="91" t="n">
        <x:v>94</x:v>
      </x:c>
      <x:c r="K19" s="91" t="n">
        <x:v>59953</x:v>
      </x:c>
      <x:c r="L19" s="91" t="n">
        <x:v>29763</x:v>
      </x:c>
      <x:c r="M19" s="91" t="n">
        <x:v>89716</x:v>
      </x:c>
      <x:c r="N19" s="92" t="n">
        <x:v>16.598211009183434</x:v>
      </x:c>
      <x:c r="O19" s="90" t="str">
        <x:v>skillsbench_verifier</x:v>
      </x:c>
      <x:c r="P19" s="90" t="n">
        <x:v>46245.28933425926</x:v>
      </x:c>
    </x:row>
    <x:row r="20" ht="15" hidden="0" customHeight="1">
      <x:c r="A20" s="84" t="str">
        <x:v>task-004</x:v>
      </x:c>
      <x:c r="B20" s="84" t="str">
        <x:v>formal-20260805-opencode-v1-task-004</x:v>
      </x:c>
      <x:c r="C20" s="84" t="str">
        <x:v>formal-20260805-opencode-v1-task-004-task-004-noskill-01</x:v>
      </x:c>
      <x:c r="D20" s="84" t="str">
        <x:v>No-Skill</x:v>
      </x:c>
      <x:c r="E20" s="84" t="n">
        <x:v>1</x:v>
      </x:c>
      <x:c r="F20" s="84" t="str">
        <x:v>pass</x:v>
      </x:c>
      <x:c r="G20" s="84" t="str">
        <x:v>首次尝试通过</x:v>
      </x:c>
      <x:c r="H20" s="85" t="n">
        <x:v>1</x:v>
      </x:c>
      <x:c r="I20" s="85" t="n">
        <x:v>23</x:v>
      </x:c>
      <x:c r="J20" s="85" t="n">
        <x:v>23</x:v>
      </x:c>
      <x:c r="K20" s="85" t="n">
        <x:v>11166</x:v>
      </x:c>
      <x:c r="L20" s="85" t="n">
        <x:v>4651</x:v>
      </x:c>
      <x:c r="M20" s="85" t="n">
        <x:v>15817</x:v>
      </x:c>
      <x:c r="N20" s="86" t="n">
        <x:v>3.3551972345337466</x:v>
      </x:c>
      <x:c r="O20" s="84" t="str">
        <x:v>skillsbench_verifier</x:v>
      </x:c>
      <x:c r="P20" s="84" t="n">
        <x:v>46245.36460532407</x:v>
      </x:c>
    </x:row>
    <x:row r="21" ht="15" hidden="0" customHeight="1">
      <x:c r="A21" s="87" t="str">
        <x:v>task-004</x:v>
      </x:c>
      <x:c r="B21" s="87" t="str">
        <x:v>formal-20260805-opencode-v1-task-004</x:v>
      </x:c>
      <x:c r="C21" s="87" t="str">
        <x:v>formal-20260805-opencode-v1-task-004-task-004-native-01</x:v>
      </x:c>
      <x:c r="D21" s="87" t="str">
        <x:v>Native</x:v>
      </x:c>
      <x:c r="E21" s="87" t="n">
        <x:v>1</x:v>
      </x:c>
      <x:c r="F21" s="87" t="str">
        <x:v>fail</x:v>
      </x:c>
      <x:c r="G21" s="87" t="str">
        <x:v>第 3 次尝试后失败</x:v>
      </x:c>
      <x:c r="H21" s="88" t="n">
        <x:v>3</x:v>
      </x:c>
      <x:c r="I21" s="88" t="n">
        <x:v>61</x:v>
      </x:c>
      <x:c r="J21" s="88" t="n">
        <x:v>69</x:v>
      </x:c>
      <x:c r="K21" s="88" t="n">
        <x:v>51180</x:v>
      </x:c>
      <x:c r="L21" s="88" t="n">
        <x:v>16148</x:v>
      </x:c>
      <x:c r="M21" s="88" t="n">
        <x:v>67328</x:v>
      </x:c>
      <x:c r="N21" s="89" t="n">
        <x:v>14.601951292083443</x:v>
      </x:c>
      <x:c r="O21" s="87" t="str">
        <x:v>skillsbench_verifier</x:v>
      </x:c>
      <x:c r="P21" s="87" t="n">
        <x:v>46245.37486795139</x:v>
      </x:c>
    </x:row>
    <x:row r="22" ht="15" hidden="0" customHeight="1">
      <x:c r="A22" s="90" t="str">
        <x:v>task-004</x:v>
      </x:c>
      <x:c r="B22" s="90" t="str">
        <x:v>formal-20260805-opencode-v1-task-004</x:v>
      </x:c>
      <x:c r="C22" s="90" t="str">
        <x:v>formal-20260805-opencode-v1-task-004-task-004-pd-vista-01</x:v>
      </x:c>
      <x:c r="D22" s="90" t="str">
        <x:v>PD-VISTA</x:v>
      </x:c>
      <x:c r="E22" s="90" t="n">
        <x:v>1</x:v>
      </x:c>
      <x:c r="F22" s="90" t="str">
        <x:v>pass</x:v>
      </x:c>
      <x:c r="G22" s="90" t="str">
        <x:v>首次尝试通过</x:v>
      </x:c>
      <x:c r="H22" s="91" t="n">
        <x:v>1</x:v>
      </x:c>
      <x:c r="I22" s="91" t="n">
        <x:v>34</x:v>
      </x:c>
      <x:c r="J22" s="91" t="n">
        <x:v>35</x:v>
      </x:c>
      <x:c r="K22" s="91" t="n">
        <x:v>23025</x:v>
      </x:c>
      <x:c r="L22" s="91" t="n">
        <x:v>10029</x:v>
      </x:c>
      <x:c r="M22" s="91" t="n">
        <x:v>33054</x:v>
      </x:c>
      <x:c r="N22" s="92" t="n">
        <x:v>5.687915783882878</x:v>
      </x:c>
      <x:c r="O22" s="90" t="str">
        <x:v>skillsbench_verifier</x:v>
      </x:c>
      <x:c r="P22" s="90" t="n">
        <x:v>46245.37894798611</x:v>
      </x:c>
    </x:row>
    <x:row r="23" ht="15" hidden="0" customHeight="1">
      <x:c r="A23" s="84" t="str">
        <x:v>task-004</x:v>
      </x:c>
      <x:c r="B23" s="84" t="str">
        <x:v>formal-20260805-opencode-v1-task-004</x:v>
      </x:c>
      <x:c r="C23" s="84" t="str">
        <x:v>formal-20260805-opencode-v1-task-004-task-004-noskill-02</x:v>
      </x:c>
      <x:c r="D23" s="84" t="str">
        <x:v>No-Skill</x:v>
      </x:c>
      <x:c r="E23" s="84" t="n">
        <x:v>2</x:v>
      </x:c>
      <x:c r="F23" s="84" t="str">
        <x:v>pass</x:v>
      </x:c>
      <x:c r="G23" s="84" t="str">
        <x:v>首次尝试通过</x:v>
      </x:c>
      <x:c r="H23" s="85" t="n">
        <x:v>1</x:v>
      </x:c>
      <x:c r="I23" s="85" t="n">
        <x:v>30</x:v>
      </x:c>
      <x:c r="J23" s="85" t="n">
        <x:v>30</x:v>
      </x:c>
      <x:c r="K23" s="85" t="n">
        <x:v>20928</x:v>
      </x:c>
      <x:c r="L23" s="85" t="n">
        <x:v>5787</x:v>
      </x:c>
      <x:c r="M23" s="85" t="n">
        <x:v>26715</x:v>
      </x:c>
      <x:c r="N23" s="86" t="n">
        <x:v>4.535541453299811</x:v>
      </x:c>
      <x:c r="O23" s="84" t="str">
        <x:v>skillsbench_verifier</x:v>
      </x:c>
      <x:c r="P23" s="84" t="n">
        <x:v>46245.39119825231</x:v>
      </x:c>
    </x:row>
    <x:row r="24" ht="15" hidden="0" customHeight="1">
      <x:c r="A24" s="87" t="str">
        <x:v>task-004</x:v>
      </x:c>
      <x:c r="B24" s="87" t="str">
        <x:v>formal-20260805-opencode-v1-task-004</x:v>
      </x:c>
      <x:c r="C24" s="87" t="str">
        <x:v>formal-20260805-opencode-v1-task-004-task-004-native-02</x:v>
      </x:c>
      <x:c r="D24" s="87" t="str">
        <x:v>Native</x:v>
      </x:c>
      <x:c r="E24" s="87" t="n">
        <x:v>2</x:v>
      </x:c>
      <x:c r="F24" s="87" t="str">
        <x:v>pass</x:v>
      </x:c>
      <x:c r="G24" s="87" t="str">
        <x:v>首次尝试通过</x:v>
      </x:c>
      <x:c r="H24" s="88" t="n">
        <x:v>1</x:v>
      </x:c>
      <x:c r="I24" s="88" t="n">
        <x:v>21</x:v>
      </x:c>
      <x:c r="J24" s="88" t="n">
        <x:v>25</x:v>
      </x:c>
      <x:c r="K24" s="88" t="n">
        <x:v>21768</x:v>
      </x:c>
      <x:c r="L24" s="88" t="n">
        <x:v>4989</x:v>
      </x:c>
      <x:c r="M24" s="88" t="n">
        <x:v>26757</x:v>
      </x:c>
      <x:c r="N24" s="89" t="n">
        <x:v>2.9122804559000843</x:v>
      </x:c>
      <x:c r="O24" s="87" t="str">
        <x:v>skillsbench_verifier</x:v>
      </x:c>
      <x:c r="P24" s="87" t="n">
        <x:v>46245.38107951389</x:v>
      </x:c>
    </x:row>
    <x:row r="25" ht="15" hidden="0" customHeight="1">
      <x:c r="A25" s="90" t="str">
        <x:v>task-004</x:v>
      </x:c>
      <x:c r="B25" s="90" t="str">
        <x:v>formal-20260805-opencode-v1-task-004</x:v>
      </x:c>
      <x:c r="C25" s="90" t="str">
        <x:v>formal-20260805-opencode-v1-task-004-task-004-pd-vista-02</x:v>
      </x:c>
      <x:c r="D25" s="90" t="str">
        <x:v>PD-VISTA</x:v>
      </x:c>
      <x:c r="E25" s="90" t="n">
        <x:v>2</x:v>
      </x:c>
      <x:c r="F25" s="90" t="str">
        <x:v>pass</x:v>
      </x:c>
      <x:c r="G25" s="90" t="str">
        <x:v>首次尝试通过</x:v>
      </x:c>
      <x:c r="H25" s="91" t="n">
        <x:v>1</x:v>
      </x:c>
      <x:c r="I25" s="91" t="n">
        <x:v>89</x:v>
      </x:c>
      <x:c r="J25" s="91" t="n">
        <x:v>93</x:v>
      </x:c>
      <x:c r="K25" s="91" t="n">
        <x:v>35284</x:v>
      </x:c>
      <x:c r="L25" s="91" t="n">
        <x:v>14523</x:v>
      </x:c>
      <x:c r="M25" s="91" t="n">
        <x:v>49807</x:v>
      </x:c>
      <x:c r="N25" s="92" t="n">
        <x:v>9.719493005383507</x:v>
      </x:c>
      <x:c r="O25" s="90" t="str">
        <x:v>skillsbench_verifier</x:v>
      </x:c>
      <x:c r="P25" s="90" t="n">
        <x:v>46245.38795853009</x:v>
      </x:c>
    </x:row>
    <x:row r="26" ht="15" hidden="0" customHeight="1">
      <x:c r="A26" s="84" t="str">
        <x:v>task-004</x:v>
      </x:c>
      <x:c r="B26" s="84" t="str">
        <x:v>formal-20260805-opencode-v1-task-004</x:v>
      </x:c>
      <x:c r="C26" s="84" t="str">
        <x:v>formal-20260805-opencode-v1-task-004-task-004-noskill-03</x:v>
      </x:c>
      <x:c r="D26" s="84" t="str">
        <x:v>No-Skill</x:v>
      </x:c>
      <x:c r="E26" s="84" t="n">
        <x:v>3</x:v>
      </x:c>
      <x:c r="F26" s="84" t="str">
        <x:v>pass</x:v>
      </x:c>
      <x:c r="G26" s="84" t="str">
        <x:v>首次尝试通过</x:v>
      </x:c>
      <x:c r="H26" s="85" t="n">
        <x:v>1</x:v>
      </x:c>
      <x:c r="I26" s="85" t="n">
        <x:v>54</x:v>
      </x:c>
      <x:c r="J26" s="85" t="n">
        <x:v>56</x:v>
      </x:c>
      <x:c r="K26" s="85" t="n">
        <x:v>18080</x:v>
      </x:c>
      <x:c r="L26" s="85" t="n">
        <x:v>8266</x:v>
      </x:c>
      <x:c r="M26" s="85" t="n">
        <x:v>26346</x:v>
      </x:c>
      <x:c r="N26" s="86" t="n">
        <x:v>5.85056056480001</x:v>
      </x:c>
      <x:c r="O26" s="84" t="str">
        <x:v>skillsbench_verifier</x:v>
      </x:c>
      <x:c r="P26" s="84" t="n">
        <x:v>46245.400113483796</x:v>
      </x:c>
    </x:row>
    <x:row r="27" ht="15" hidden="0" customHeight="1">
      <x:c r="A27" s="87" t="str">
        <x:v>task-004</x:v>
      </x:c>
      <x:c r="B27" s="87" t="str">
        <x:v>formal-20260805-opencode-v1-task-004</x:v>
      </x:c>
      <x:c r="C27" s="87" t="str">
        <x:v>formal-20260805-opencode-v1-task-004-task-004-native-03</x:v>
      </x:c>
      <x:c r="D27" s="87" t="str">
        <x:v>Native</x:v>
      </x:c>
      <x:c r="E27" s="87" t="n">
        <x:v>3</x:v>
      </x:c>
      <x:c r="F27" s="87" t="str">
        <x:v>pass</x:v>
      </x:c>
      <x:c r="G27" s="87" t="str">
        <x:v>首次尝试通过</x:v>
      </x:c>
      <x:c r="H27" s="88" t="n">
        <x:v>1</x:v>
      </x:c>
      <x:c r="I27" s="88" t="n">
        <x:v>15</x:v>
      </x:c>
      <x:c r="J27" s="88" t="n">
        <x:v>19</x:v>
      </x:c>
      <x:c r="K27" s="88" t="n">
        <x:v>18117</x:v>
      </x:c>
      <x:c r="L27" s="88" t="n">
        <x:v>2873</x:v>
      </x:c>
      <x:c r="M27" s="88" t="n">
        <x:v>20990</x:v>
      </x:c>
      <x:c r="N27" s="89" t="n">
        <x:v>2.538035322166979</x:v>
      </x:c>
      <x:c r="O27" s="87" t="str">
        <x:v>skillsbench_verifier</x:v>
      </x:c>
      <x:c r="P27" s="87" t="n">
        <x:v>46245.40198394676</x:v>
      </x:c>
    </x:row>
    <x:row r="28" ht="15" hidden="0" customHeight="1">
      <x:c r="A28" s="90" t="str">
        <x:v>task-004</x:v>
      </x:c>
      <x:c r="B28" s="90" t="str">
        <x:v>formal-20260805-opencode-v1-task-004</x:v>
      </x:c>
      <x:c r="C28" s="90" t="str">
        <x:v>formal-20260805-opencode-v1-task-004-task-004-pd-vista-03</x:v>
      </x:c>
      <x:c r="D28" s="90" t="str">
        <x:v>PD-VISTA</x:v>
      </x:c>
      <x:c r="E28" s="90" t="n">
        <x:v>3</x:v>
      </x:c>
      <x:c r="F28" s="90" t="str">
        <x:v>pass</x:v>
      </x:c>
      <x:c r="G28" s="90" t="str">
        <x:v>首次尝试通过</x:v>
      </x:c>
      <x:c r="H28" s="91" t="n">
        <x:v>1</x:v>
      </x:c>
      <x:c r="I28" s="91" t="n">
        <x:v>33</x:v>
      </x:c>
      <x:c r="J28" s="91" t="n">
        <x:v>37</x:v>
      </x:c>
      <x:c r="K28" s="91" t="n">
        <x:v>19534</x:v>
      </x:c>
      <x:c r="L28" s="91" t="n">
        <x:v>6254</x:v>
      </x:c>
      <x:c r="M28" s="91" t="n">
        <x:v>25788</x:v>
      </x:c>
      <x:c r="N28" s="92" t="n">
        <x:v>6.6718840860000155</x:v>
      </x:c>
      <x:c r="O28" s="90" t="str">
        <x:v>skillsbench_verifier</x:v>
      </x:c>
      <x:c r="P28" s="90" t="n">
        <x:v>46245.395961319446</x:v>
      </x:c>
    </x:row>
    <x:row r="29" ht="15" hidden="0" customHeight="1">
      <x:c r="A29" s="84" t="str">
        <x:v>task-005</x:v>
      </x:c>
      <x:c r="B29" s="84" t="str">
        <x:v>formal-20260805-opencode-v1-task-005-rerun-20260811T1255Z</x:v>
      </x:c>
      <x:c r="C29" s="84" t="str">
        <x:v>formal-20260805-opencode-v1-task-005-rerun-20260811T1255Z-task-005-noskill-01</x:v>
      </x:c>
      <x:c r="D29" s="84" t="str">
        <x:v>No-Skill</x:v>
      </x:c>
      <x:c r="E29" s="84" t="n">
        <x:v>1</x:v>
      </x:c>
      <x:c r="F29" s="84" t="str">
        <x:v>pass</x:v>
      </x:c>
      <x:c r="G29" s="84" t="str">
        <x:v>首次尝试通过</x:v>
      </x:c>
      <x:c r="H29" s="85" t="n">
        <x:v>1</x:v>
      </x:c>
      <x:c r="I29" s="85" t="n">
        <x:v>23</x:v>
      </x:c>
      <x:c r="J29" s="85" t="n">
        <x:v>22</x:v>
      </x:c>
      <x:c r="K29" s="85" t="n">
        <x:v>16246</x:v>
      </x:c>
      <x:c r="L29" s="85" t="n">
        <x:v>4193</x:v>
      </x:c>
      <x:c r="M29" s="85" t="n">
        <x:v>20439</x:v>
      </x:c>
      <x:c r="N29" s="86" t="n">
        <x:v>4.052468177183376</x:v>
      </x:c>
      <x:c r="O29" s="84" t="str">
        <x:v>skillsbench_verifier</x:v>
      </x:c>
      <x:c r="P29" s="84" t="n">
        <x:v>46245.49092487268</x:v>
      </x:c>
    </x:row>
    <x:row r="30" ht="15" hidden="0" customHeight="1">
      <x:c r="A30" s="87" t="str">
        <x:v>task-005</x:v>
      </x:c>
      <x:c r="B30" s="87" t="str">
        <x:v>formal-20260805-opencode-v1-task-005-rerun-20260811T1255Z</x:v>
      </x:c>
      <x:c r="C30" s="87" t="str">
        <x:v>formal-20260805-opencode-v1-task-005-rerun-20260811T1255Z-task-005-native-01</x:v>
      </x:c>
      <x:c r="D30" s="87" t="str">
        <x:v>Native</x:v>
      </x:c>
      <x:c r="E30" s="87" t="n">
        <x:v>1</x:v>
      </x:c>
      <x:c r="F30" s="87" t="str">
        <x:v>pass</x:v>
      </x:c>
      <x:c r="G30" s="87" t="str">
        <x:v>首次尝试通过</x:v>
      </x:c>
      <x:c r="H30" s="88" t="n">
        <x:v>1</x:v>
      </x:c>
      <x:c r="I30" s="88" t="n">
        <x:v>43</x:v>
      </x:c>
      <x:c r="J30" s="88" t="n">
        <x:v>43</x:v>
      </x:c>
      <x:c r="K30" s="88" t="n">
        <x:v>31361</x:v>
      </x:c>
      <x:c r="L30" s="88" t="n">
        <x:v>10021</x:v>
      </x:c>
      <x:c r="M30" s="88" t="n">
        <x:v>41382</x:v>
      </x:c>
      <x:c r="N30" s="89" t="n">
        <x:v>5.658848636566836</x:v>
      </x:c>
      <x:c r="O30" s="87" t="str">
        <x:v>skillsbench_verifier</x:v>
      </x:c>
      <x:c r="P30" s="87" t="n">
        <x:v>46245.4788309838</x:v>
      </x:c>
    </x:row>
    <x:row r="31" ht="15" hidden="0" customHeight="1">
      <x:c r="A31" s="90" t="str">
        <x:v>task-005</x:v>
      </x:c>
      <x:c r="B31" s="90" t="str">
        <x:v>formal-20260805-opencode-v1-task-005-rerun-20260811T1255Z</x:v>
      </x:c>
      <x:c r="C31" s="90" t="str">
        <x:v>formal-20260805-opencode-v1-task-005-rerun-20260811T1255Z-task-005-pd-vista-01</x:v>
      </x:c>
      <x:c r="D31" s="90" t="str">
        <x:v>PD-VISTA</x:v>
      </x:c>
      <x:c r="E31" s="90" t="n">
        <x:v>1</x:v>
      </x:c>
      <x:c r="F31" s="90" t="str">
        <x:v>fail</x:v>
      </x:c>
      <x:c r="G31" s="90" t="str">
        <x:v>第 3 次尝试后失败</x:v>
      </x:c>
      <x:c r="H31" s="91" t="n">
        <x:v>3</x:v>
      </x:c>
      <x:c r="I31" s="91" t="n">
        <x:v>60</x:v>
      </x:c>
      <x:c r="J31" s="91" t="n">
        <x:v>62</x:v>
      </x:c>
      <x:c r="K31" s="91" t="n">
        <x:v>42212</x:v>
      </x:c>
      <x:c r="L31" s="91" t="n">
        <x:v>13204</x:v>
      </x:c>
      <x:c r="M31" s="91" t="n">
        <x:v>55416</x:v>
      </x:c>
      <x:c r="N31" s="92" t="n">
        <x:v>12.428099450400138</x:v>
      </x:c>
      <x:c r="O31" s="90" t="str">
        <x:v>skillsbench_verifier</x:v>
      </x:c>
      <x:c r="P31" s="90" t="n">
        <x:v>46245.48796724537</x:v>
      </x:c>
    </x:row>
    <x:row r="32" ht="15" hidden="0" customHeight="1">
      <x:c r="A32" s="84" t="str">
        <x:v>task-005</x:v>
      </x:c>
      <x:c r="B32" s="84" t="str">
        <x:v>formal-20260805-opencode-v1-task-005-rerun-20260811T1255Z</x:v>
      </x:c>
      <x:c r="C32" s="84" t="str">
        <x:v>formal-20260805-opencode-v1-task-005-rerun-20260811T1255Z-task-005-noskill-02</x:v>
      </x:c>
      <x:c r="D32" s="84" t="str">
        <x:v>No-Skill</x:v>
      </x:c>
      <x:c r="E32" s="84" t="n">
        <x:v>2</x:v>
      </x:c>
      <x:c r="F32" s="84" t="str">
        <x:v>pass</x:v>
      </x:c>
      <x:c r="G32" s="84" t="str">
        <x:v>首次尝试通过</x:v>
      </x:c>
      <x:c r="H32" s="85" t="n">
        <x:v>1</x:v>
      </x:c>
      <x:c r="I32" s="85" t="n">
        <x:v>22</x:v>
      </x:c>
      <x:c r="J32" s="85" t="n">
        <x:v>23</x:v>
      </x:c>
      <x:c r="K32" s="85" t="n">
        <x:v>12831</x:v>
      </x:c>
      <x:c r="L32" s="85" t="n">
        <x:v>3684</x:v>
      </x:c>
      <x:c r="M32" s="85" t="n">
        <x:v>16515</x:v>
      </x:c>
      <x:c r="N32" s="86" t="n">
        <x:v>4.3958301110498725</x:v>
      </x:c>
      <x:c r="O32" s="84" t="str">
        <x:v>skillsbench_verifier</x:v>
      </x:c>
      <x:c r="P32" s="84" t="n">
        <x:v>46245.50587460648</x:v>
      </x:c>
    </x:row>
    <x:row r="33" ht="15" hidden="0" customHeight="1">
      <x:c r="A33" s="87" t="str">
        <x:v>task-005</x:v>
      </x:c>
      <x:c r="B33" s="87" t="str">
        <x:v>formal-20260805-opencode-v1-task-005-rerun-20260811T1255Z</x:v>
      </x:c>
      <x:c r="C33" s="87" t="str">
        <x:v>formal-20260805-opencode-v1-task-005-rerun-20260811T1255Z-task-005-native-02</x:v>
      </x:c>
      <x:c r="D33" s="87" t="str">
        <x:v>Native</x:v>
      </x:c>
      <x:c r="E33" s="87" t="n">
        <x:v>2</x:v>
      </x:c>
      <x:c r="F33" s="87" t="str">
        <x:v>fail</x:v>
      </x:c>
      <x:c r="G33" s="87" t="str">
        <x:v>第 3 次尝试后失败</x:v>
      </x:c>
      <x:c r="H33" s="88" t="n">
        <x:v>3</x:v>
      </x:c>
      <x:c r="I33" s="88" t="n">
        <x:v>47</x:v>
      </x:c>
      <x:c r="J33" s="88" t="n">
        <x:v>54</x:v>
      </x:c>
      <x:c r="K33" s="88" t="n">
        <x:v>79676</x:v>
      </x:c>
      <x:c r="L33" s="88" t="n">
        <x:v>10232</x:v>
      </x:c>
      <x:c r="M33" s="88" t="n">
        <x:v>89908</x:v>
      </x:c>
      <x:c r="N33" s="89" t="n">
        <x:v>15.756028270383347</x:v>
      </x:c>
      <x:c r="O33" s="87" t="str">
        <x:v>skillsbench_verifier</x:v>
      </x:c>
      <x:c r="P33" s="87" t="n">
        <x:v>46245.517112256945</x:v>
      </x:c>
    </x:row>
    <x:row r="34" ht="15" hidden="0" customHeight="1">
      <x:c r="A34" s="90" t="str">
        <x:v>task-005</x:v>
      </x:c>
      <x:c r="B34" s="90" t="str">
        <x:v>formal-20260805-opencode-v1-task-005-rerun-20260811T1255Z</x:v>
      </x:c>
      <x:c r="C34" s="90" t="str">
        <x:v>formal-20260805-opencode-v1-task-005-rerun-20260811T1255Z-task-005-pd-vista-02</x:v>
      </x:c>
      <x:c r="D34" s="90" t="str">
        <x:v>PD-VISTA</x:v>
      </x:c>
      <x:c r="E34" s="90" t="n">
        <x:v>2</x:v>
      </x:c>
      <x:c r="F34" s="90" t="str">
        <x:v>pass</x:v>
      </x:c>
      <x:c r="G34" s="90" t="str">
        <x:v>第 3 次尝试后通过</x:v>
      </x:c>
      <x:c r="H34" s="91" t="n">
        <x:v>3</x:v>
      </x:c>
      <x:c r="I34" s="91" t="n">
        <x:v>70</x:v>
      </x:c>
      <x:c r="J34" s="91" t="n">
        <x:v>72</x:v>
      </x:c>
      <x:c r="K34" s="91" t="n">
        <x:v>39647</x:v>
      </x:c>
      <x:c r="L34" s="91" t="n">
        <x:v>19141</x:v>
      </x:c>
      <x:c r="M34" s="91" t="n">
        <x:v>58788</x:v>
      </x:c>
      <x:c r="N34" s="92" t="n">
        <x:v>16.057871505683092</x:v>
      </x:c>
      <x:c r="O34" s="90" t="str">
        <x:v>skillsbench_verifier</x:v>
      </x:c>
      <x:c r="P34" s="90" t="n">
        <x:v>46245.50271892361</x:v>
      </x:c>
    </x:row>
    <x:row r="35" ht="15" hidden="0" customHeight="1">
      <x:c r="A35" s="84" t="str">
        <x:v>task-005</x:v>
      </x:c>
      <x:c r="B35" s="84" t="str">
        <x:v>formal-20260805-opencode-v1-task-005-rerun-20260811T1255Z</x:v>
      </x:c>
      <x:c r="C35" s="84" t="str">
        <x:v>formal-20260805-opencode-v1-task-005-rerun-20260811T1255Z-task-005-noskill-03</x:v>
      </x:c>
      <x:c r="D35" s="84" t="str">
        <x:v>No-Skill</x:v>
      </x:c>
      <x:c r="E35" s="84" t="n">
        <x:v>3</x:v>
      </x:c>
      <x:c r="F35" s="84" t="str">
        <x:v>pass</x:v>
      </x:c>
      <x:c r="G35" s="84" t="str">
        <x:v>首次尝试通过</x:v>
      </x:c>
      <x:c r="H35" s="85" t="n">
        <x:v>1</x:v>
      </x:c>
      <x:c r="I35" s="85" t="n">
        <x:v>25</x:v>
      </x:c>
      <x:c r="J35" s="85" t="n">
        <x:v>24</x:v>
      </x:c>
      <x:c r="K35" s="85" t="n">
        <x:v>15611</x:v>
      </x:c>
      <x:c r="L35" s="85" t="n">
        <x:v>4985</x:v>
      </x:c>
      <x:c r="M35" s="85" t="n">
        <x:v>20596</x:v>
      </x:c>
      <x:c r="N35" s="86" t="n">
        <x:v>8.41501697616671</x:v>
      </x:c>
      <x:c r="O35" s="84" t="str">
        <x:v>skillsbench_verifier</x:v>
      </x:c>
      <x:c r="P35" s="84" t="n">
        <x:v>46245.52305042824</x:v>
      </x:c>
    </x:row>
    <x:row r="36" ht="15" hidden="0" customHeight="1">
      <x:c r="A36" s="87" t="str">
        <x:v>task-005</x:v>
      </x:c>
      <x:c r="B36" s="87" t="str">
        <x:v>formal-20260805-opencode-v1-task-005-rerun-20260811T1255Z</x:v>
      </x:c>
      <x:c r="C36" s="87" t="str">
        <x:v>formal-20260805-opencode-v1-task-005-rerun-20260811T1255Z-task-005-native-03</x:v>
      </x:c>
      <x:c r="D36" s="87" t="str">
        <x:v>Native</x:v>
      </x:c>
      <x:c r="E36" s="87" t="n">
        <x:v>3</x:v>
      </x:c>
      <x:c r="F36" s="87" t="str">
        <x:v>pass</x:v>
      </x:c>
      <x:c r="G36" s="87" t="str">
        <x:v>首次尝试通过</x:v>
      </x:c>
      <x:c r="H36" s="88" t="n">
        <x:v>1</x:v>
      </x:c>
      <x:c r="I36" s="88" t="n">
        <x:v>28</x:v>
      </x:c>
      <x:c r="J36" s="88" t="n">
        <x:v>31</x:v>
      </x:c>
      <x:c r="K36" s="88" t="n">
        <x:v>63637</x:v>
      </x:c>
      <x:c r="L36" s="88" t="n">
        <x:v>5346</x:v>
      </x:c>
      <x:c r="M36" s="88" t="n">
        <x:v>68983</x:v>
      </x:c>
      <x:c r="N36" s="89" t="n">
        <x:v>23.577966812016772</x:v>
      </x:c>
      <x:c r="O36" s="87" t="str">
        <x:v>skillsbench_verifier</x:v>
      </x:c>
      <x:c r="P36" s="87" t="n">
        <x:v>46245.539745138885</x:v>
      </x:c>
    </x:row>
    <x:row r="37" ht="15" hidden="0" customHeight="1">
      <x:c r="A37" s="90" t="str">
        <x:v>task-005</x:v>
      </x:c>
      <x:c r="B37" s="90" t="str">
        <x:v>formal-20260805-opencode-v1-task-005-rerun-20260811T1255Z</x:v>
      </x:c>
      <x:c r="C37" s="90" t="str">
        <x:v>formal-20260805-opencode-v1-task-005-rerun-20260811T1255Z-task-005-pd-vista-03</x:v>
      </x:c>
      <x:c r="D37" s="90" t="str">
        <x:v>PD-VISTA</x:v>
      </x:c>
      <x:c r="E37" s="90" t="n">
        <x:v>3</x:v>
      </x:c>
      <x:c r="F37" s="90" t="str">
        <x:v>fail</x:v>
      </x:c>
      <x:c r="G37" s="90" t="str">
        <x:v>第 3 次尝试后失败</x:v>
      </x:c>
      <x:c r="H37" s="91" t="n">
        <x:v>3</x:v>
      </x:c>
      <x:c r="I37" s="91" t="n">
        <x:v>79</x:v>
      </x:c>
      <x:c r="J37" s="91" t="n">
        <x:v>76</x:v>
      </x:c>
      <x:c r="K37" s="91" t="n">
        <x:v>40357</x:v>
      </x:c>
      <x:c r="L37" s="91" t="n">
        <x:v>18391</x:v>
      </x:c>
      <x:c r="M37" s="91" t="n">
        <x:v>58748</x:v>
      </x:c>
      <x:c r="N37" s="92" t="n">
        <x:v>22.049872262883095</x:v>
      </x:c>
      <x:c r="O37" s="90" t="str">
        <x:v>skillsbench_verifier</x:v>
      </x:c>
      <x:c r="P37" s="90" t="n">
        <x:v>46245.556479224535</x:v>
      </x:c>
    </x:row>
  </x:sheetData>
  <x:conditionalFormatting sqref="F2:F3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899a9f08b40d42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5" hidden="0" customWidth="1"/>
    <x:col min="2" max="2" width="7.380000114440918" hidden="0" customWidth="1"/>
    <x:col min="3" max="3" width="3.880000114440918" hidden="0" customWidth="1"/>
    <x:col min="4" max="4" width="4.25" hidden="0" customWidth="1"/>
    <x:col min="5" max="5" width="4.25" hidden="0" customWidth="1"/>
    <x:col min="6" max="6" width="7.880000114440918" hidden="0" customWidth="1"/>
    <x:col min="7" max="7" width="6" hidden="0" customWidth="1"/>
    <x:col min="8" max="8" width="9.75" hidden="0" customWidth="1"/>
    <x:col min="9" max="9" width="7.25" hidden="0" customWidth="1"/>
    <x:col min="10" max="10" width="15.25" hidden="0" customWidth="1"/>
  </x:cols>
  <x:sheetData>
    <x:row r="1" ht="16.799999237060547" hidden="0" customHeight="1">
      <x:c r="A1" s="31" t="str">
        <x:v>任务 × 条件：路径与资源消耗</x:v>
      </x:c>
    </x:row>
    <x:row r="2"/>
    <x:row r="3" ht="15" hidden="0" customHeight="1">
      <x:c r="A3" s="66" t="str">
        <x:v>任务</x:v>
      </x:c>
      <x:c r="B3" s="67" t="str">
        <x:v>条件</x:v>
      </x:c>
      <x:c r="C3" s="67" t="str">
        <x:v>Trial</x:v>
      </x:c>
      <x:c r="D3" s="67" t="str">
        <x:v>通过</x:v>
      </x:c>
      <x:c r="E3" s="67" t="str">
        <x:v>失败</x:v>
      </x:c>
      <x:c r="F3" s="67" t="str">
        <x:v>平均尝试</x:v>
      </x:c>
      <x:c r="G3" s="67" t="str">
        <x:v>总请求</x:v>
      </x:c>
      <x:c r="H3" s="67" t="str">
        <x:v>总工具调用</x:v>
      </x:c>
      <x:c r="I3" s="67" t="str">
        <x:v>总 Token</x:v>
      </x:c>
      <x:c r="J3" s="68" t="str">
        <x:v>平均时长（分钟）</x:v>
      </x:c>
    </x:row>
    <x:row r="4" ht="15" hidden="0" customHeight="1">
      <x:c r="A4" s="49" t="str">
        <x:v>task-001</x:v>
      </x:c>
      <x:c r="B4" s="69" t="str">
        <x:v>No-Skill</x:v>
      </x:c>
      <x:c r="C4" s="50" t="n">
        <x:f>COUNTIFS('逐 Trial 明细'!$A$2:$A$37,$A4,'逐 Trial 明细'!$D$2:$D$37,$B4)</x:f>
        <x:v>3</x:v>
      </x:c>
      <x:c r="D4" s="50" t="n">
        <x:f>COUNTIFS('逐 Trial 明细'!$A$2:$A$37,$A4,'逐 Trial 明细'!$D$2:$D$37,$B4,'逐 Trial 明细'!$F$2:$F$37,"pass")</x:f>
        <x:v>3</x:v>
      </x:c>
      <x:c r="E4" s="50" t="n">
        <x:f>COUNTIFS('逐 Trial 明细'!$A$2:$A$37,$A4,'逐 Trial 明细'!$D$2:$D$37,$B4,'逐 Trial 明细'!$F$2:$F$37,"fail")</x:f>
        <x:v>0</x:v>
      </x:c>
      <x:c r="F4" s="70" t="n">
        <x:f>AVERAGEIFS('逐 Trial 明细'!$H$2:$H$37,'逐 Trial 明细'!$A$2:$A$37,$A4,'逐 Trial 明细'!$D$2:$D$37,$B4)</x:f>
        <x:v>1.3333333333333333</x:v>
      </x:c>
      <x:c r="G4" s="50" t="n">
        <x:f>SUMIFS('逐 Trial 明细'!$I$2:$I$37,'逐 Trial 明细'!$A$2:$A$37,$A4,'逐 Trial 明细'!$D$2:$D$37,$B4)</x:f>
        <x:v>70</x:v>
      </x:c>
      <x:c r="H4" s="50" t="n">
        <x:f>SUMIFS('逐 Trial 明细'!$J$2:$J$37,'逐 Trial 明细'!$A$2:$A$37,$A4,'逐 Trial 明细'!$D$2:$D$37,$B4)</x:f>
        <x:v>81</x:v>
      </x:c>
      <x:c r="I4" s="50" t="n">
        <x:f>SUMIFS('逐 Trial 明细'!$M$2:$M$37,'逐 Trial 明细'!$A$2:$A$37,$A4,'逐 Trial 明细'!$D$2:$D$37,$B4)</x:f>
        <x:v>128212</x:v>
      </x:c>
      <x:c r="J4" s="71" t="n">
        <x:f>AVERAGEIFS('逐 Trial 明细'!$N$2:$N$37,'逐 Trial 明细'!$A$2:$A$37,$A4,'逐 Trial 明细'!$D$2:$D$37,$B4)</x:f>
        <x:v>12.595359138972062</x:v>
      </x:c>
    </x:row>
    <x:row r="5" ht="15" hidden="0" customHeight="1">
      <x:c r="A5" s="51" t="str">
        <x:v>task-001</x:v>
      </x:c>
      <x:c r="B5" s="72" t="str">
        <x:v>Native</x:v>
      </x:c>
      <x:c r="C5" s="52" t="n">
        <x:f>COUNTIFS('逐 Trial 明细'!$A$2:$A$37,$A5,'逐 Trial 明细'!$D$2:$D$37,$B5)</x:f>
        <x:v>3</x:v>
      </x:c>
      <x:c r="D5" s="52" t="n">
        <x:f>COUNTIFS('逐 Trial 明细'!$A$2:$A$37,$A5,'逐 Trial 明细'!$D$2:$D$37,$B5,'逐 Trial 明细'!$F$2:$F$37,"pass")</x:f>
        <x:v>3</x:v>
      </x:c>
      <x:c r="E5" s="52" t="n">
        <x:f>COUNTIFS('逐 Trial 明细'!$A$2:$A$37,$A5,'逐 Trial 明细'!$D$2:$D$37,$B5,'逐 Trial 明细'!$F$2:$F$37,"fail")</x:f>
        <x:v>0</x:v>
      </x:c>
      <x:c r="F5" s="73" t="n">
        <x:f>AVERAGEIFS('逐 Trial 明细'!$H$2:$H$37,'逐 Trial 明细'!$A$2:$A$37,$A5,'逐 Trial 明细'!$D$2:$D$37,$B5)</x:f>
        <x:v>1</x:v>
      </x:c>
      <x:c r="G5" s="52" t="n">
        <x:f>SUMIFS('逐 Trial 明细'!$I$2:$I$37,'逐 Trial 明细'!$A$2:$A$37,$A5,'逐 Trial 明细'!$D$2:$D$37,$B5)</x:f>
        <x:v>80</x:v>
      </x:c>
      <x:c r="H5" s="52" t="n">
        <x:f>SUMIFS('逐 Trial 明细'!$J$2:$J$37,'逐 Trial 明细'!$A$2:$A$37,$A5,'逐 Trial 明细'!$D$2:$D$37,$B5)</x:f>
        <x:v>115</x:v>
      </x:c>
      <x:c r="I5" s="52" t="n">
        <x:f>SUMIFS('逐 Trial 明细'!$M$2:$M$37,'逐 Trial 明细'!$A$2:$A$37,$A5,'逐 Trial 明细'!$D$2:$D$37,$B5)</x:f>
        <x:v>177027</x:v>
      </x:c>
      <x:c r="J5" s="74" t="n">
        <x:f>AVERAGEIFS('逐 Trial 明细'!$N$2:$N$37,'逐 Trial 明细'!$A$2:$A$37,$A5,'逐 Trial 明细'!$D$2:$D$37,$B5)</x:f>
        <x:v>10.816930365261053</x:v>
      </x:c>
    </x:row>
    <x:row r="6" ht="15" hidden="0" customHeight="1">
      <x:c r="A6" s="53" t="str">
        <x:v>task-001</x:v>
      </x:c>
      <x:c r="B6" s="75" t="str">
        <x:v>PD-VISTA</x:v>
      </x:c>
      <x:c r="C6" s="54" t="n">
        <x:f>COUNTIFS('逐 Trial 明细'!$A$2:$A$37,$A6,'逐 Trial 明细'!$D$2:$D$37,$B6)</x:f>
        <x:v>3</x:v>
      </x:c>
      <x:c r="D6" s="54" t="n">
        <x:f>COUNTIFS('逐 Trial 明细'!$A$2:$A$37,$A6,'逐 Trial 明细'!$D$2:$D$37,$B6,'逐 Trial 明细'!$F$2:$F$37,"pass")</x:f>
        <x:v>2</x:v>
      </x:c>
      <x:c r="E6" s="54" t="n">
        <x:f>COUNTIFS('逐 Trial 明细'!$A$2:$A$37,$A6,'逐 Trial 明细'!$D$2:$D$37,$B6,'逐 Trial 明细'!$F$2:$F$37,"fail")</x:f>
        <x:v>1</x:v>
      </x:c>
      <x:c r="F6" s="76" t="n">
        <x:f>AVERAGEIFS('逐 Trial 明细'!$H$2:$H$37,'逐 Trial 明细'!$A$2:$A$37,$A6,'逐 Trial 明细'!$D$2:$D$37,$B6)</x:f>
        <x:v>1.6666666666666667</x:v>
      </x:c>
      <x:c r="G6" s="54" t="n">
        <x:f>SUMIFS('逐 Trial 明细'!$I$2:$I$37,'逐 Trial 明细'!$A$2:$A$37,$A6,'逐 Trial 明细'!$D$2:$D$37,$B6)</x:f>
        <x:v>101</x:v>
      </x:c>
      <x:c r="H6" s="54" t="n">
        <x:f>SUMIFS('逐 Trial 明细'!$J$2:$J$37,'逐 Trial 明细'!$A$2:$A$37,$A6,'逐 Trial 明细'!$D$2:$D$37,$B6)</x:f>
        <x:v>110</x:v>
      </x:c>
      <x:c r="I6" s="54" t="n">
        <x:f>SUMIFS('逐 Trial 明细'!$M$2:$M$37,'逐 Trial 明细'!$A$2:$A$37,$A6,'逐 Trial 明细'!$D$2:$D$37,$B6)</x:f>
        <x:v>115318</x:v>
      </x:c>
      <x:c r="J6" s="77" t="n">
        <x:f>AVERAGEIFS('逐 Trial 明细'!$N$2:$N$37,'逐 Trial 明细'!$A$2:$A$37,$A6,'逐 Trial 明细'!$D$2:$D$37,$B6)</x:f>
        <x:v>13.633368380088683</x:v>
      </x:c>
    </x:row>
    <x:row r="7" ht="15" hidden="0" customHeight="1">
      <x:c r="A7" s="49" t="str">
        <x:v>task-003</x:v>
      </x:c>
      <x:c r="B7" s="69" t="str">
        <x:v>No-Skill</x:v>
      </x:c>
      <x:c r="C7" s="50" t="n">
        <x:f>COUNTIFS('逐 Trial 明细'!$A$2:$A$37,$A7,'逐 Trial 明细'!$D$2:$D$37,$B7)</x:f>
        <x:v>3</x:v>
      </x:c>
      <x:c r="D7" s="50" t="n">
        <x:f>COUNTIFS('逐 Trial 明细'!$A$2:$A$37,$A7,'逐 Trial 明细'!$D$2:$D$37,$B7,'逐 Trial 明细'!$F$2:$F$37,"pass")</x:f>
        <x:v>0</x:v>
      </x:c>
      <x:c r="E7" s="50" t="n">
        <x:f>COUNTIFS('逐 Trial 明细'!$A$2:$A$37,$A7,'逐 Trial 明细'!$D$2:$D$37,$B7,'逐 Trial 明细'!$F$2:$F$37,"fail")</x:f>
        <x:v>3</x:v>
      </x:c>
      <x:c r="F7" s="70" t="n">
        <x:f>AVERAGEIFS('逐 Trial 明细'!$H$2:$H$37,'逐 Trial 明细'!$A$2:$A$37,$A7,'逐 Trial 明细'!$D$2:$D$37,$B7)</x:f>
        <x:v>3</x:v>
      </x:c>
      <x:c r="G7" s="50" t="n">
        <x:f>SUMIFS('逐 Trial 明细'!$I$2:$I$37,'逐 Trial 明细'!$A$2:$A$37,$A7,'逐 Trial 明细'!$D$2:$D$37,$B7)</x:f>
        <x:v>243</x:v>
      </x:c>
      <x:c r="H7" s="50" t="n">
        <x:f>SUMIFS('逐 Trial 明细'!$J$2:$J$37,'逐 Trial 明细'!$A$2:$A$37,$A7,'逐 Trial 明细'!$D$2:$D$37,$B7)</x:f>
        <x:v>240</x:v>
      </x:c>
      <x:c r="I7" s="50" t="n">
        <x:f>SUMIFS('逐 Trial 明细'!$M$2:$M$37,'逐 Trial 明细'!$A$2:$A$37,$A7,'逐 Trial 明细'!$D$2:$D$37,$B7)</x:f>
        <x:v>159796</x:v>
      </x:c>
      <x:c r="J7" s="71" t="n">
        <x:f>AVERAGEIFS('逐 Trial 明细'!$N$2:$N$37,'逐 Trial 明细'!$A$2:$A$37,$A7,'逐 Trial 明细'!$D$2:$D$37,$B7)</x:f>
        <x:v>14.988764822316524</x:v>
      </x:c>
    </x:row>
    <x:row r="8" ht="15" hidden="0" customHeight="1">
      <x:c r="A8" s="51" t="str">
        <x:v>task-003</x:v>
      </x:c>
      <x:c r="B8" s="72" t="str">
        <x:v>Native</x:v>
      </x:c>
      <x:c r="C8" s="52" t="n">
        <x:f>COUNTIFS('逐 Trial 明细'!$A$2:$A$37,$A8,'逐 Trial 明细'!$D$2:$D$37,$B8)</x:f>
        <x:v>3</x:v>
      </x:c>
      <x:c r="D8" s="52" t="n">
        <x:f>COUNTIFS('逐 Trial 明细'!$A$2:$A$37,$A8,'逐 Trial 明细'!$D$2:$D$37,$B8,'逐 Trial 明细'!$F$2:$F$37,"pass")</x:f>
        <x:v>0</x:v>
      </x:c>
      <x:c r="E8" s="52" t="n">
        <x:f>COUNTIFS('逐 Trial 明细'!$A$2:$A$37,$A8,'逐 Trial 明细'!$D$2:$D$37,$B8,'逐 Trial 明细'!$F$2:$F$37,"fail")</x:f>
        <x:v>3</x:v>
      </x:c>
      <x:c r="F8" s="73" t="n">
        <x:f>AVERAGEIFS('逐 Trial 明细'!$H$2:$H$37,'逐 Trial 明细'!$A$2:$A$37,$A8,'逐 Trial 明细'!$D$2:$D$37,$B8)</x:f>
        <x:v>2.3333333333333335</x:v>
      </x:c>
      <x:c r="G8" s="52" t="n">
        <x:f>SUMIFS('逐 Trial 明细'!$I$2:$I$37,'逐 Trial 明细'!$A$2:$A$37,$A8,'逐 Trial 明细'!$D$2:$D$37,$B8)</x:f>
        <x:v>203</x:v>
      </x:c>
      <x:c r="H8" s="52" t="n">
        <x:f>SUMIFS('逐 Trial 明细'!$J$2:$J$37,'逐 Trial 明细'!$A$2:$A$37,$A8,'逐 Trial 明细'!$D$2:$D$37,$B8)</x:f>
        <x:v>216</x:v>
      </x:c>
      <x:c r="I8" s="52" t="n">
        <x:f>SUMIFS('逐 Trial 明细'!$M$2:$M$37,'逐 Trial 明细'!$A$2:$A$37,$A8,'逐 Trial 明细'!$D$2:$D$37,$B8)</x:f>
        <x:v>154069</x:v>
      </x:c>
      <x:c r="J8" s="74" t="n">
        <x:f>AVERAGEIFS('逐 Trial 明细'!$N$2:$N$37,'逐 Trial 明细'!$A$2:$A$37,$A8,'逐 Trial 明细'!$D$2:$D$37,$B8)</x:f>
        <x:v>17.14910618759443</x:v>
      </x:c>
    </x:row>
    <x:row r="9" ht="15" hidden="0" customHeight="1">
      <x:c r="A9" s="53" t="str">
        <x:v>task-003</x:v>
      </x:c>
      <x:c r="B9" s="75" t="str">
        <x:v>PD-VISTA</x:v>
      </x:c>
      <x:c r="C9" s="54" t="n">
        <x:f>COUNTIFS('逐 Trial 明细'!$A$2:$A$37,$A9,'逐 Trial 明细'!$D$2:$D$37,$B9)</x:f>
        <x:v>3</x:v>
      </x:c>
      <x:c r="D9" s="54" t="n">
        <x:f>COUNTIFS('逐 Trial 明细'!$A$2:$A$37,$A9,'逐 Trial 明细'!$D$2:$D$37,$B9,'逐 Trial 明细'!$F$2:$F$37,"pass")</x:f>
        <x:v>0</x:v>
      </x:c>
      <x:c r="E9" s="54" t="n">
        <x:f>COUNTIFS('逐 Trial 明细'!$A$2:$A$37,$A9,'逐 Trial 明细'!$D$2:$D$37,$B9,'逐 Trial 明细'!$F$2:$F$37,"fail")</x:f>
        <x:v>3</x:v>
      </x:c>
      <x:c r="F9" s="76" t="n">
        <x:f>AVERAGEIFS('逐 Trial 明细'!$H$2:$H$37,'逐 Trial 明细'!$A$2:$A$37,$A9,'逐 Trial 明细'!$D$2:$D$37,$B9)</x:f>
        <x:v>3</x:v>
      </x:c>
      <x:c r="G9" s="54" t="n">
        <x:f>SUMIFS('逐 Trial 明细'!$I$2:$I$37,'逐 Trial 明细'!$A$2:$A$37,$A9,'逐 Trial 明细'!$D$2:$D$37,$B9)</x:f>
        <x:v>233</x:v>
      </x:c>
      <x:c r="H9" s="54" t="n">
        <x:f>SUMIFS('逐 Trial 明细'!$J$2:$J$37,'逐 Trial 明细'!$A$2:$A$37,$A9,'逐 Trial 明细'!$D$2:$D$37,$B9)</x:f>
        <x:v>241</x:v>
      </x:c>
      <x:c r="I9" s="54" t="n">
        <x:f>SUMIFS('逐 Trial 明细'!$M$2:$M$37,'逐 Trial 明细'!$A$2:$A$37,$A9,'逐 Trial 明细'!$D$2:$D$37,$B9)</x:f>
        <x:v>211252</x:v>
      </x:c>
      <x:c r="J9" s="77" t="n">
        <x:f>AVERAGEIFS('逐 Trial 明细'!$N$2:$N$37,'逐 Trial 明细'!$A$2:$A$37,$A9,'逐 Trial 明细'!$D$2:$D$37,$B9)</x:f>
        <x:v>15.63700701649456</x:v>
      </x:c>
    </x:row>
    <x:row r="10" ht="15" hidden="0" customHeight="1">
      <x:c r="A10" s="49" t="str">
        <x:v>task-004</x:v>
      </x:c>
      <x:c r="B10" s="69" t="str">
        <x:v>No-Skill</x:v>
      </x:c>
      <x:c r="C10" s="50" t="n">
        <x:f>COUNTIFS('逐 Trial 明细'!$A$2:$A$37,$A10,'逐 Trial 明细'!$D$2:$D$37,$B10)</x:f>
        <x:v>3</x:v>
      </x:c>
      <x:c r="D10" s="50" t="n">
        <x:f>COUNTIFS('逐 Trial 明细'!$A$2:$A$37,$A10,'逐 Trial 明细'!$D$2:$D$37,$B10,'逐 Trial 明细'!$F$2:$F$37,"pass")</x:f>
        <x:v>3</x:v>
      </x:c>
      <x:c r="E10" s="50" t="n">
        <x:f>COUNTIFS('逐 Trial 明细'!$A$2:$A$37,$A10,'逐 Trial 明细'!$D$2:$D$37,$B10,'逐 Trial 明细'!$F$2:$F$37,"fail")</x:f>
        <x:v>0</x:v>
      </x:c>
      <x:c r="F10" s="70" t="n">
        <x:f>AVERAGEIFS('逐 Trial 明细'!$H$2:$H$37,'逐 Trial 明细'!$A$2:$A$37,$A10,'逐 Trial 明细'!$D$2:$D$37,$B10)</x:f>
        <x:v>1</x:v>
      </x:c>
      <x:c r="G10" s="50" t="n">
        <x:f>SUMIFS('逐 Trial 明细'!$I$2:$I$37,'逐 Trial 明细'!$A$2:$A$37,$A10,'逐 Trial 明细'!$D$2:$D$37,$B10)</x:f>
        <x:v>107</x:v>
      </x:c>
      <x:c r="H10" s="50" t="n">
        <x:f>SUMIFS('逐 Trial 明细'!$J$2:$J$37,'逐 Trial 明细'!$A$2:$A$37,$A10,'逐 Trial 明细'!$D$2:$D$37,$B10)</x:f>
        <x:v>109</x:v>
      </x:c>
      <x:c r="I10" s="50" t="n">
        <x:f>SUMIFS('逐 Trial 明细'!$M$2:$M$37,'逐 Trial 明细'!$A$2:$A$37,$A10,'逐 Trial 明细'!$D$2:$D$37,$B10)</x:f>
        <x:v>68878</x:v>
      </x:c>
      <x:c r="J10" s="71" t="n">
        <x:f>AVERAGEIFS('逐 Trial 明细'!$N$2:$N$37,'逐 Trial 明细'!$A$2:$A$37,$A10,'逐 Trial 明细'!$D$2:$D$37,$B10)</x:f>
        <x:v>4.580433084211189</x:v>
      </x:c>
    </x:row>
    <x:row r="11" ht="15" hidden="0" customHeight="1">
      <x:c r="A11" s="51" t="str">
        <x:v>task-004</x:v>
      </x:c>
      <x:c r="B11" s="72" t="str">
        <x:v>Native</x:v>
      </x:c>
      <x:c r="C11" s="52" t="n">
        <x:f>COUNTIFS('逐 Trial 明细'!$A$2:$A$37,$A11,'逐 Trial 明细'!$D$2:$D$37,$B11)</x:f>
        <x:v>3</x:v>
      </x:c>
      <x:c r="D11" s="52" t="n">
        <x:f>COUNTIFS('逐 Trial 明细'!$A$2:$A$37,$A11,'逐 Trial 明细'!$D$2:$D$37,$B11,'逐 Trial 明细'!$F$2:$F$37,"pass")</x:f>
        <x:v>2</x:v>
      </x:c>
      <x:c r="E11" s="52" t="n">
        <x:f>COUNTIFS('逐 Trial 明细'!$A$2:$A$37,$A11,'逐 Trial 明细'!$D$2:$D$37,$B11,'逐 Trial 明细'!$F$2:$F$37,"fail")</x:f>
        <x:v>1</x:v>
      </x:c>
      <x:c r="F11" s="73" t="n">
        <x:f>AVERAGEIFS('逐 Trial 明细'!$H$2:$H$37,'逐 Trial 明细'!$A$2:$A$37,$A11,'逐 Trial 明细'!$D$2:$D$37,$B11)</x:f>
        <x:v>1.6666666666666667</x:v>
      </x:c>
      <x:c r="G11" s="52" t="n">
        <x:f>SUMIFS('逐 Trial 明细'!$I$2:$I$37,'逐 Trial 明细'!$A$2:$A$37,$A11,'逐 Trial 明细'!$D$2:$D$37,$B11)</x:f>
        <x:v>97</x:v>
      </x:c>
      <x:c r="H11" s="52" t="n">
        <x:f>SUMIFS('逐 Trial 明细'!$J$2:$J$37,'逐 Trial 明细'!$A$2:$A$37,$A11,'逐 Trial 明细'!$D$2:$D$37,$B11)</x:f>
        <x:v>113</x:v>
      </x:c>
      <x:c r="I11" s="52" t="n">
        <x:f>SUMIFS('逐 Trial 明细'!$M$2:$M$37,'逐 Trial 明细'!$A$2:$A$37,$A11,'逐 Trial 明细'!$D$2:$D$37,$B11)</x:f>
        <x:v>115075</x:v>
      </x:c>
      <x:c r="J11" s="74" t="n">
        <x:f>AVERAGEIFS('逐 Trial 明细'!$N$2:$N$37,'逐 Trial 明细'!$A$2:$A$37,$A11,'逐 Trial 明细'!$D$2:$D$37,$B11)</x:f>
        <x:v>6.684089023383502</x:v>
      </x:c>
    </x:row>
    <x:row r="12" ht="15" hidden="0" customHeight="1">
      <x:c r="A12" s="53" t="str">
        <x:v>task-004</x:v>
      </x:c>
      <x:c r="B12" s="75" t="str">
        <x:v>PD-VISTA</x:v>
      </x:c>
      <x:c r="C12" s="54" t="n">
        <x:f>COUNTIFS('逐 Trial 明细'!$A$2:$A$37,$A12,'逐 Trial 明细'!$D$2:$D$37,$B12)</x:f>
        <x:v>3</x:v>
      </x:c>
      <x:c r="D12" s="54" t="n">
        <x:f>COUNTIFS('逐 Trial 明细'!$A$2:$A$37,$A12,'逐 Trial 明细'!$D$2:$D$37,$B12,'逐 Trial 明细'!$F$2:$F$37,"pass")</x:f>
        <x:v>3</x:v>
      </x:c>
      <x:c r="E12" s="54" t="n">
        <x:f>COUNTIFS('逐 Trial 明细'!$A$2:$A$37,$A12,'逐 Trial 明细'!$D$2:$D$37,$B12,'逐 Trial 明细'!$F$2:$F$37,"fail")</x:f>
        <x:v>0</x:v>
      </x:c>
      <x:c r="F12" s="76" t="n">
        <x:f>AVERAGEIFS('逐 Trial 明细'!$H$2:$H$37,'逐 Trial 明细'!$A$2:$A$37,$A12,'逐 Trial 明细'!$D$2:$D$37,$B12)</x:f>
        <x:v>1</x:v>
      </x:c>
      <x:c r="G12" s="54" t="n">
        <x:f>SUMIFS('逐 Trial 明细'!$I$2:$I$37,'逐 Trial 明细'!$A$2:$A$37,$A12,'逐 Trial 明细'!$D$2:$D$37,$B12)</x:f>
        <x:v>156</x:v>
      </x:c>
      <x:c r="H12" s="54" t="n">
        <x:f>SUMIFS('逐 Trial 明细'!$J$2:$J$37,'逐 Trial 明细'!$A$2:$A$37,$A12,'逐 Trial 明细'!$D$2:$D$37,$B12)</x:f>
        <x:v>165</x:v>
      </x:c>
      <x:c r="I12" s="54" t="n">
        <x:f>SUMIFS('逐 Trial 明细'!$M$2:$M$37,'逐 Trial 明细'!$A$2:$A$37,$A12,'逐 Trial 明细'!$D$2:$D$37,$B12)</x:f>
        <x:v>108649</x:v>
      </x:c>
      <x:c r="J12" s="77" t="n">
        <x:f>AVERAGEIFS('逐 Trial 明细'!$N$2:$N$37,'逐 Trial 明细'!$A$2:$A$37,$A12,'逐 Trial 明细'!$D$2:$D$37,$B12)</x:f>
        <x:v>7.359764291755467</x:v>
      </x:c>
    </x:row>
    <x:row r="13" ht="15" hidden="0" customHeight="1">
      <x:c r="A13" s="49" t="str">
        <x:v>task-005</x:v>
      </x:c>
      <x:c r="B13" s="69" t="str">
        <x:v>No-Skill</x:v>
      </x:c>
      <x:c r="C13" s="50" t="n">
        <x:f>COUNTIFS('逐 Trial 明细'!$A$2:$A$37,$A13,'逐 Trial 明细'!$D$2:$D$37,$B13)</x:f>
        <x:v>3</x:v>
      </x:c>
      <x:c r="D13" s="50" t="n">
        <x:f>COUNTIFS('逐 Trial 明细'!$A$2:$A$37,$A13,'逐 Trial 明细'!$D$2:$D$37,$B13,'逐 Trial 明细'!$F$2:$F$37,"pass")</x:f>
        <x:v>3</x:v>
      </x:c>
      <x:c r="E13" s="50" t="n">
        <x:f>COUNTIFS('逐 Trial 明细'!$A$2:$A$37,$A13,'逐 Trial 明细'!$D$2:$D$37,$B13,'逐 Trial 明细'!$F$2:$F$37,"fail")</x:f>
        <x:v>0</x:v>
      </x:c>
      <x:c r="F13" s="70" t="n">
        <x:f>AVERAGEIFS('逐 Trial 明细'!$H$2:$H$37,'逐 Trial 明细'!$A$2:$A$37,$A13,'逐 Trial 明细'!$D$2:$D$37,$B13)</x:f>
        <x:v>1</x:v>
      </x:c>
      <x:c r="G13" s="50" t="n">
        <x:f>SUMIFS('逐 Trial 明细'!$I$2:$I$37,'逐 Trial 明细'!$A$2:$A$37,$A13,'逐 Trial 明细'!$D$2:$D$37,$B13)</x:f>
        <x:v>70</x:v>
      </x:c>
      <x:c r="H13" s="50" t="n">
        <x:f>SUMIFS('逐 Trial 明细'!$J$2:$J$37,'逐 Trial 明细'!$A$2:$A$37,$A13,'逐 Trial 明细'!$D$2:$D$37,$B13)</x:f>
        <x:v>69</x:v>
      </x:c>
      <x:c r="I13" s="50" t="n">
        <x:f>SUMIFS('逐 Trial 明细'!$M$2:$M$37,'逐 Trial 明细'!$A$2:$A$37,$A13,'逐 Trial 明细'!$D$2:$D$37,$B13)</x:f>
        <x:v>57550</x:v>
      </x:c>
      <x:c r="J13" s="71" t="n">
        <x:f>AVERAGEIFS('逐 Trial 明细'!$N$2:$N$37,'逐 Trial 明细'!$A$2:$A$37,$A13,'逐 Trial 明细'!$D$2:$D$37,$B13)</x:f>
        <x:v>5.621105088133319</x:v>
      </x:c>
    </x:row>
    <x:row r="14" ht="15" hidden="0" customHeight="1">
      <x:c r="A14" s="51" t="str">
        <x:v>task-005</x:v>
      </x:c>
      <x:c r="B14" s="72" t="str">
        <x:v>Native</x:v>
      </x:c>
      <x:c r="C14" s="52" t="n">
        <x:f>COUNTIFS('逐 Trial 明细'!$A$2:$A$37,$A14,'逐 Trial 明细'!$D$2:$D$37,$B14)</x:f>
        <x:v>3</x:v>
      </x:c>
      <x:c r="D14" s="52" t="n">
        <x:f>COUNTIFS('逐 Trial 明细'!$A$2:$A$37,$A14,'逐 Trial 明细'!$D$2:$D$37,$B14,'逐 Trial 明细'!$F$2:$F$37,"pass")</x:f>
        <x:v>2</x:v>
      </x:c>
      <x:c r="E14" s="52" t="n">
        <x:f>COUNTIFS('逐 Trial 明细'!$A$2:$A$37,$A14,'逐 Trial 明细'!$D$2:$D$37,$B14,'逐 Trial 明细'!$F$2:$F$37,"fail")</x:f>
        <x:v>1</x:v>
      </x:c>
      <x:c r="F14" s="73" t="n">
        <x:f>AVERAGEIFS('逐 Trial 明细'!$H$2:$H$37,'逐 Trial 明细'!$A$2:$A$37,$A14,'逐 Trial 明细'!$D$2:$D$37,$B14)</x:f>
        <x:v>1.6666666666666667</x:v>
      </x:c>
      <x:c r="G14" s="52" t="n">
        <x:f>SUMIFS('逐 Trial 明细'!$I$2:$I$37,'逐 Trial 明细'!$A$2:$A$37,$A14,'逐 Trial 明细'!$D$2:$D$37,$B14)</x:f>
        <x:v>118</x:v>
      </x:c>
      <x:c r="H14" s="52" t="n">
        <x:f>SUMIFS('逐 Trial 明细'!$J$2:$J$37,'逐 Trial 明细'!$A$2:$A$37,$A14,'逐 Trial 明细'!$D$2:$D$37,$B14)</x:f>
        <x:v>128</x:v>
      </x:c>
      <x:c r="I14" s="52" t="n">
        <x:f>SUMIFS('逐 Trial 明细'!$M$2:$M$37,'逐 Trial 明细'!$A$2:$A$37,$A14,'逐 Trial 明细'!$D$2:$D$37,$B14)</x:f>
        <x:v>200273</x:v>
      </x:c>
      <x:c r="J14" s="74" t="n">
        <x:f>AVERAGEIFS('逐 Trial 明细'!$N$2:$N$37,'逐 Trial 明细'!$A$2:$A$37,$A14,'逐 Trial 明细'!$D$2:$D$37,$B14)</x:f>
        <x:v>14.997614572988985</x:v>
      </x:c>
    </x:row>
    <x:row r="15" ht="15" hidden="0" customHeight="1">
      <x:c r="A15" s="78" t="str">
        <x:v>task-005</x:v>
      </x:c>
      <x:c r="B15" s="79" t="str">
        <x:v>PD-VISTA</x:v>
      </x:c>
      <x:c r="C15" s="80" t="n">
        <x:f>COUNTIFS('逐 Trial 明细'!$A$2:$A$37,$A15,'逐 Trial 明细'!$D$2:$D$37,$B15)</x:f>
        <x:v>3</x:v>
      </x:c>
      <x:c r="D15" s="80" t="n">
        <x:f>COUNTIFS('逐 Trial 明细'!$A$2:$A$37,$A15,'逐 Trial 明细'!$D$2:$D$37,$B15,'逐 Trial 明细'!$F$2:$F$37,"pass")</x:f>
        <x:v>1</x:v>
      </x:c>
      <x:c r="E15" s="80" t="n">
        <x:f>COUNTIFS('逐 Trial 明细'!$A$2:$A$37,$A15,'逐 Trial 明细'!$D$2:$D$37,$B15,'逐 Trial 明细'!$F$2:$F$37,"fail")</x:f>
        <x:v>2</x:v>
      </x:c>
      <x:c r="F15" s="81" t="n">
        <x:f>AVERAGEIFS('逐 Trial 明细'!$H$2:$H$37,'逐 Trial 明细'!$A$2:$A$37,$A15,'逐 Trial 明细'!$D$2:$D$37,$B15)</x:f>
        <x:v>3</x:v>
      </x:c>
      <x:c r="G15" s="80" t="n">
        <x:f>SUMIFS('逐 Trial 明细'!$I$2:$I$37,'逐 Trial 明细'!$A$2:$A$37,$A15,'逐 Trial 明细'!$D$2:$D$37,$B15)</x:f>
        <x:v>209</x:v>
      </x:c>
      <x:c r="H15" s="80" t="n">
        <x:f>SUMIFS('逐 Trial 明细'!$J$2:$J$37,'逐 Trial 明细'!$A$2:$A$37,$A15,'逐 Trial 明细'!$D$2:$D$37,$B15)</x:f>
        <x:v>210</x:v>
      </x:c>
      <x:c r="I15" s="80" t="n">
        <x:f>SUMIFS('逐 Trial 明细'!$M$2:$M$37,'逐 Trial 明细'!$A$2:$A$37,$A15,'逐 Trial 明细'!$D$2:$D$37,$B15)</x:f>
        <x:v>172952</x:v>
      </x:c>
      <x:c r="J15" s="82" t="n">
        <x:f>AVERAGEIFS('逐 Trial 明细'!$N$2:$N$37,'逐 Trial 明细'!$A$2:$A$37,$A15,'逐 Trial 明细'!$D$2:$D$37,$B15)</x:f>
        <x:v>16.845281072988772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6299991607666" hidden="0" customWidth="1"/>
    <x:col min="2" max="2" width="69.62999725341797" hidden="0" customWidth="1"/>
  </x:cols>
  <x:sheetData>
    <x:row r="1" ht="16.799999237060547" hidden="0" customHeight="1">
      <x:c r="A1" s="31" t="str">
        <x:v>统计口径与解读提示</x:v>
      </x:c>
    </x:row>
    <x:row r="2"/>
    <x:row r="3" ht="15" hidden="0" customHeight="1">
      <x:c r="A3" s="32" t="str">
        <x:v>纳入范围</x:v>
      </x:c>
      <x:c r="B3" s="33" t="str">
        <x:v>仅 9/9 完整且每条终止事件为 trial_end 的任务组。</x:v>
      </x:c>
    </x:row>
    <x:row r="4" ht="15" hidden="0" customHeight="1">
      <x:c r="A4" s="32" t="str">
        <x:v>排除范围</x:v>
      </x:c>
      <x:c r="B4" s="33" t="str">
        <x:v>task-002、task-006（发生基础设施 quarantine 后提前停止），以及旧中断 RunId。</x:v>
      </x:c>
    </x:row>
    <x:row r="5" ht="15" hidden="0" customHeight="1">
      <x:c r="A5" s="32" t="str">
        <x:v>完成路径</x:v>
      </x:c>
      <x:c r="B5" s="33" t="str">
        <x:v>首次尝试通过、修复后通过、或在最大 agent 尝试次数内最终失败。</x:v>
      </x:c>
    </x:row>
    <x:row r="6" ht="15" hidden="0" customHeight="1">
      <x:c r="A6" s="32" t="str">
        <x:v>Token</x:v>
      </x:c>
      <x:c r="B6" s="33" t="str">
        <x:v>直接取每条最终 trial_end 的 input_tokens、output_tokens、total_tokens；不推断成本。</x:v>
      </x:c>
    </x:row>
    <x:row r="7" ht="15" hidden="0" customHeight="1">
      <x:c r="A7" s="32" t="str">
        <x:v>时长</x:v>
      </x:c>
      <x:c r="B7" s="33" t="str">
        <x:v>由 trial_end.elapsed_ms 转为分钟，包含 runtime、agent、verifier 等全流程时间。</x:v>
      </x:c>
    </x:row>
    <x:row r="8" ht="15" hidden="0" customHeight="1">
      <x:c r="A8" s="32" t="str">
        <x:v>阅读顺序</x:v>
      </x:c>
      <x:c r="B8" s="33" t="str">
        <x:v>先看“逐 Trial 明细”定位异常和高耗样本，再看“任务×条件”比较任务内差异。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6.75" hidden="0" customWidth="1"/>
    <x:col min="2" max="2" width="45" hidden="0" customWidth="1"/>
    <x:col min="3" max="3" width="70" hidden="0" customWidth="1"/>
    <x:col min="4" max="4" width="7.380000114440918" hidden="0" customWidth="1"/>
    <x:col min="5" max="5" width="10" hidden="0" customWidth="1"/>
    <x:col min="6" max="6" width="10.380000114440918" hidden="0" customWidth="1"/>
    <x:col min="7" max="7" width="20" hidden="0" customWidth="1"/>
    <x:col min="8" max="8" width="30" hidden="0" customWidth="1"/>
    <x:col min="9" max="9" width="11.630000114440918" hidden="0" customWidth="1"/>
    <x:col min="10" max="10" width="10.380000114440918" hidden="0" customWidth="1"/>
    <x:col min="11" max="11" width="10.380000114440918" hidden="0" customWidth="1"/>
    <x:col min="12" max="12" width="11.630000114440918" hidden="0" customWidth="1"/>
    <x:col min="13" max="13" width="11.630000114440918" hidden="0" customWidth="1"/>
    <x:col min="14" max="14" width="9.75" hidden="0" customWidth="1"/>
    <x:col min="15" max="15" width="14" hidden="0" customWidth="1"/>
    <x:col min="16" max="16" width="28" hidden="0" customWidth="1"/>
  </x:cols>
  <x:sheetData>
    <x:row r="1" ht="16.799999237060547" hidden="0" customHeight="1">
      <x:c r="A1" s="36" t="str">
        <x:v>task-002 重跑：未完整组的执行证据（不计入总览统计）</x:v>
      </x:c>
    </x:row>
    <x:row r="2" ht="15" hidden="0" customHeight="1">
      <x:c r="A2" s="39" t="str">
        <x:v>该组第 4 条 pd-vista-02 在第 2 次 agent 尝试达到 1,800 秒超时，记录为 quarantine；formal fail-fast 后其余 5 条未启动。下表保留已执行证据，但不与完整任务组混合统计。</x:v>
      </x:c>
    </x:row>
    <x:row r="3"/>
    <x:row r="4" ht="15" hidden="0" customHeight="1">
      <x:c r="A4" s="11" t="str">
        <x:v>任务</x:v>
      </x:c>
      <x:c r="B4" s="11" t="str">
        <x:v>RunId</x:v>
      </x:c>
      <x:c r="C4" s="11" t="str">
        <x:v>Trial ID</x:v>
      </x:c>
      <x:c r="D4" s="11" t="str">
        <x:v>条件</x:v>
      </x:c>
      <x:c r="E4" s="11" t="str">
        <x:v>Replicate</x:v>
      </x:c>
      <x:c r="F4" s="11" t="str">
        <x:v>最终状态</x:v>
      </x:c>
      <x:c r="G4" s="11" t="str">
        <x:v>是否计入总览</x:v>
      </x:c>
      <x:c r="H4" s="11" t="str">
        <x:v>Quarantine 原因</x:v>
      </x:c>
      <x:c r="I4" s="11" t="str">
        <x:v>Agent 尝试</x:v>
      </x:c>
      <x:c r="J4" s="11" t="str">
        <x:v>模型请求</x:v>
      </x:c>
      <x:c r="K4" s="11" t="str">
        <x:v>工具调用</x:v>
      </x:c>
      <x:c r="L4" s="11" t="str">
        <x:v>输入 Token</x:v>
      </x:c>
      <x:c r="M4" s="11" t="str">
        <x:v>输出 Token</x:v>
      </x:c>
      <x:c r="N4" s="11" t="str">
        <x:v>总 Token</x:v>
      </x:c>
      <x:c r="O4" s="11" t="str">
        <x:v>时长（分钟）</x:v>
      </x:c>
      <x:c r="P4" s="11" t="str">
        <x:v>终止时间 UTC</x:v>
      </x:c>
    </x:row>
    <x:row r="5" ht="15" hidden="0" customHeight="1">
      <x:c r="A5" s="20" t="str">
        <x:v>task-002</x:v>
      </x:c>
      <x:c r="B5" s="20" t="str">
        <x:v>formal-20260805-opencode-v1-task-002-rerun-20260812</x:v>
      </x:c>
      <x:c r="C5" s="20" t="str">
        <x:v>formal-20260805-opencode-v1-task-002-rerun-20260812-task-002-noskill-01</x:v>
      </x:c>
      <x:c r="D5" s="20" t="str">
        <x:v>No-Skill</x:v>
      </x:c>
      <x:c r="E5" s="20" t="n">
        <x:v>1</x:v>
      </x:c>
      <x:c r="F5" s="20" t="str">
        <x:v>fail</x:v>
      </x:c>
      <x:c r="G5" s="20" t="str">
        <x:v>否（未完整组）</x:v>
      </x:c>
      <x:c r="H5" s="20" t="str"/>
      <x:c r="I5" s="21" t="n">
        <x:v>3</x:v>
      </x:c>
      <x:c r="J5" s="21" t="n">
        <x:v>74</x:v>
      </x:c>
      <x:c r="K5" s="21" t="n">
        <x:v>71</x:v>
      </x:c>
      <x:c r="L5" s="21" t="n">
        <x:v>68919</x:v>
      </x:c>
      <x:c r="M5" s="21" t="n">
        <x:v>11518</x:v>
      </x:c>
      <x:c r="N5" s="21" t="n">
        <x:v>80437</x:v>
      </x:c>
      <x:c r="O5" s="27" t="n">
        <x:v>18.693032267999662</x:v>
      </x:c>
      <x:c r="P5" s="20" t="n">
        <x:v>46246.2146241088</x:v>
      </x:c>
    </x:row>
    <x:row r="6" ht="15" hidden="0" customHeight="1">
      <x:c r="A6" s="22" t="str">
        <x:v>task-002</x:v>
      </x:c>
      <x:c r="B6" s="22" t="str">
        <x:v>formal-20260805-opencode-v1-task-002-rerun-20260812</x:v>
      </x:c>
      <x:c r="C6" s="22" t="str">
        <x:v>formal-20260805-opencode-v1-task-002-rerun-20260812-task-002-native-01</x:v>
      </x:c>
      <x:c r="D6" s="22" t="str">
        <x:v>Native</x:v>
      </x:c>
      <x:c r="E6" s="22" t="n">
        <x:v>1</x:v>
      </x:c>
      <x:c r="F6" s="22" t="str">
        <x:v>fail</x:v>
      </x:c>
      <x:c r="G6" s="22" t="str">
        <x:v>否（未完整组）</x:v>
      </x:c>
      <x:c r="H6" s="22" t="str"/>
      <x:c r="I6" s="23" t="n">
        <x:v>3</x:v>
      </x:c>
      <x:c r="J6" s="23" t="n">
        <x:v>88</x:v>
      </x:c>
      <x:c r="K6" s="23" t="n">
        <x:v>87</x:v>
      </x:c>
      <x:c r="L6" s="23" t="n">
        <x:v>77470</x:v>
      </x:c>
      <x:c r="M6" s="23" t="n">
        <x:v>14955</x:v>
      </x:c>
      <x:c r="N6" s="23" t="n">
        <x:v>92425</x:v>
      </x:c>
      <x:c r="O6" s="28" t="n">
        <x:v>21.684391790816637</x:v>
      </x:c>
      <x:c r="P6" s="22" t="n">
        <x:v>46246.18324438657</x:v>
      </x:c>
    </x:row>
    <x:row r="7" ht="15" hidden="0" customHeight="1">
      <x:c r="A7" s="24" t="str">
        <x:v>task-002</x:v>
      </x:c>
      <x:c r="B7" s="24" t="str">
        <x:v>formal-20260805-opencode-v1-task-002-rerun-20260812</x:v>
      </x:c>
      <x:c r="C7" s="24" t="str">
        <x:v>formal-20260805-opencode-v1-task-002-rerun-20260812-task-002-pd-vista-01</x:v>
      </x:c>
      <x:c r="D7" s="24" t="str">
        <x:v>PD-VISTA</x:v>
      </x:c>
      <x:c r="E7" s="24" t="n">
        <x:v>1</x:v>
      </x:c>
      <x:c r="F7" s="24" t="str">
        <x:v>fail</x:v>
      </x:c>
      <x:c r="G7" s="24" t="str">
        <x:v>否（未完整组）</x:v>
      </x:c>
      <x:c r="H7" s="24" t="str"/>
      <x:c r="I7" s="25" t="n">
        <x:v>3</x:v>
      </x:c>
      <x:c r="J7" s="25" t="n">
        <x:v>72</x:v>
      </x:c>
      <x:c r="K7" s="25" t="n">
        <x:v>70</x:v>
      </x:c>
      <x:c r="L7" s="25" t="n">
        <x:v>77758</x:v>
      </x:c>
      <x:c r="M7" s="25" t="n">
        <x:v>14099</x:v>
      </x:c>
      <x:c r="N7" s="25" t="n">
        <x:v>91857</x:v>
      </x:c>
      <x:c r="O7" s="29" t="n">
        <x:v>26.201455600533034</x:v>
      </x:c>
      <x:c r="P7" s="24" t="n">
        <x:v>46246.20155153935</x:v>
      </x:c>
    </x:row>
    <x:row r="8" ht="15" hidden="0" customHeight="1">
      <x:c r="A8" s="24" t="str">
        <x:v>task-002</x:v>
      </x:c>
      <x:c r="B8" s="24" t="str">
        <x:v>formal-20260805-opencode-v1-task-002-rerun-20260812</x:v>
      </x:c>
      <x:c r="C8" s="24" t="str">
        <x:v>formal-20260805-opencode-v1-task-002-rerun-20260812-task-002-pd-vista-02</x:v>
      </x:c>
      <x:c r="D8" s="24" t="str">
        <x:v>PD-VISTA</x:v>
      </x:c>
      <x:c r="E8" s="24" t="n">
        <x:v>2</x:v>
      </x:c>
      <x:c r="F8" s="24" t="str">
        <x:v>quarantined</x:v>
      </x:c>
      <x:c r="G8" s="24" t="str">
        <x:v>否（未完整组）</x:v>
      </x:c>
      <x:c r="H8" s="24" t="str">
        <x:v>agent_infrastructure_error</x:v>
      </x:c>
      <x:c r="I8" s="25" t="n">
        <x:v>2</x:v>
      </x:c>
      <x:c r="J8" s="25" t="n">
        <x:v>56</x:v>
      </x:c>
      <x:c r="K8" s="25" t="n">
        <x:v>60</x:v>
      </x:c>
      <x:c r="L8" s="25" t="n">
        <x:v>100418</x:v>
      </x:c>
      <x:c r="M8" s="25" t="n">
        <x:v>9522</x:v>
      </x:c>
      <x:c r="N8" s="25" t="n">
        <x:v>109940</x:v>
      </x:c>
      <x:c r="O8" s="29" t="n">
        <x:v>47.055558137733414</x:v>
      </x:c>
      <x:c r="P8" s="24" t="n">
        <x:v>46246.247416516206</x:v>
      </x:c>
    </x:row>
  </x:sheetData>
  <x:mergeCells>
    <x:mergeCell ref="A1:N1"/>
    <x:mergeCell ref="A2:N2"/>
  </x:mergeCells>
  <x:conditionalFormatting sqref="F5:F8">
    <x:cfRule type="containsText" dxfId="2" priority="1" operator="containsText" text="fail"/>
    <x:cfRule type="containsText" dxfId="3" priority="2" operator="containsText" text="quarantined"/>
  </x:conditionalFormatting>
  <x:pageMargins left="0.7" right="0.7" top="0.75" bottom="0.75" header="0.3" footer="0.3"/>
  <x:tableParts count="1">
    <x:tablePart xmlns:r="http://schemas.openxmlformats.org/officeDocument/2006/relationships" r:id="Ra35dd7bf49194f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7.6300048828125" hidden="0" customWidth="1"/>
    <x:col min="2" max="2" width="7.380000114440918" hidden="0" customWidth="1"/>
    <x:col min="3" max="3" width="10" hidden="0" customWidth="1"/>
    <x:col min="4" max="4" width="10.380000114440918" hidden="0" customWidth="1"/>
    <x:col min="5" max="5" width="13.380000114440918" hidden="0" customWidth="1"/>
    <x:col min="6" max="6" width="58" hidden="0" customWidth="1"/>
    <x:col min="7" max="7" width="11.630000114440918" hidden="0" customWidth="1"/>
    <x:col min="8" max="8" width="28" hidden="0" customWidth="1"/>
    <x:col min="9" max="9" width="10.380000114440918" hidden="0" customWidth="1"/>
    <x:col min="10" max="10" width="24" hidden="0" customWidth="1"/>
    <x:col min="11" max="11" width="12" hidden="0" customWidth="1"/>
    <x:col min="12" max="12" width="48" hidden="0" customWidth="1"/>
    <x:col min="13" max="13" width="13.5" hidden="0" customWidth="1"/>
    <x:col min="14" max="14" width="19.5" hidden="0" customWidth="1"/>
    <x:col min="15" max="15" width="28" hidden="0" customWidth="1"/>
    <x:col min="16" max="16" width="68" hidden="0" customWidth="1"/>
  </x:cols>
  <x:sheetData>
    <x:row r="1" ht="16.799999237060547" hidden="0" customHeight="1">
      <x:c r="A1" s="31" t="str">
        <x:v>完整任务组：Agent 访问与反馈路径（逐 Trial）</x:v>
      </x:c>
    </x:row>
    <x:row r="2" ht="15" hidden="0" customHeight="1">
      <x:c r="A2" s="7" t="str">
        <x:v>路径按 JSONL 公开事件重建：Readiness → Agent 尝试 → verifier → 公开反馈 → repair → 最终结果。公开反馈和修复重试适用于全部条件；“PD-VISTA 模块披露”只在 PD-VISTA 条件适用。包含 task-002 的已执行但未完整记录，且单独标为不纳入统计。</x:v>
      </x:c>
    </x:row>
    <x:row r="3"/>
    <x:row r="4" ht="15" hidden="0" customHeight="1">
      <x:c r="A4" s="11" t="str">
        <x:v>任务</x:v>
      </x:c>
      <x:c r="B4" s="11" t="str">
        <x:v>条件</x:v>
      </x:c>
      <x:c r="C4" s="11" t="str">
        <x:v>Replicate</x:v>
      </x:c>
      <x:c r="D4" s="11" t="str">
        <x:v>最终状态</x:v>
      </x:c>
      <x:c r="E4" s="11" t="str">
        <x:v>计入总览</x:v>
      </x:c>
      <x:c r="F4" s="11" t="str">
        <x:v>事件路径</x:v>
      </x:c>
      <x:c r="G4" s="11" t="str">
        <x:v>Agent 尝试</x:v>
      </x:c>
      <x:c r="H4" s="11" t="str">
        <x:v>PD-VISTA 模块披露</x:v>
      </x:c>
      <x:c r="I4" s="11" t="str">
        <x:v>反馈次数</x:v>
      </x:c>
      <x:c r="J4" s="11" t="str">
        <x:v>反馈类型</x:v>
      </x:c>
      <x:c r="K4" s="11" t="str">
        <x:v>Repair 次数</x:v>
      </x:c>
      <x:c r="L4" s="11" t="str">
        <x:v>各次 Agent 执行（时长 / Token）</x:v>
      </x:c>
      <x:c r="M4" s="11" t="str">
        <x:v>最终总 Token</x:v>
      </x:c>
      <x:c r="N4" s="11" t="str">
        <x:v>全流程时长（分钟）</x:v>
      </x:c>
      <x:c r="O4" s="11" t="str">
        <x:v>Quarantine 原因</x:v>
      </x:c>
      <x:c r="P4" s="11" t="str">
        <x:v>Trial ID</x:v>
      </x:c>
    </x:row>
    <x:row r="5" ht="15" hidden="0" customHeight="1">
      <x:c r="A5" s="20" t="str">
        <x:v>task-001</x:v>
      </x:c>
      <x:c r="B5" s="20" t="str">
        <x:v>No-Skill</x:v>
      </x:c>
      <x:c r="C5" s="20" t="n">
        <x:v>1</x:v>
      </x:c>
      <x:c r="D5" s="20" t="str">
        <x:v>pass</x:v>
      </x:c>
      <x:c r="E5" s="20" t="str">
        <x:v>是</x:v>
      </x:c>
      <x:c r="F5" s="20" t="str">
        <x:v>Readiness → Agent#1 → Verify✓ → Verify✓ → Final✓</x:v>
      </x:c>
      <x:c r="G5" s="21" t="n">
        <x:v>1</x:v>
      </x:c>
      <x:c r="H5" s="21" t="str">
        <x:v>不适用（不加载 PD-VISTA 模块）</x:v>
      </x:c>
      <x:c r="I5" s="21" t="n">
        <x:v>0</x:v>
      </x:c>
      <x:c r="J5" s="21" t="str">
        <x:v>无公开反馈</x:v>
      </x:c>
      <x:c r="K5" s="21" t="n">
        <x:v>0</x:v>
      </x:c>
      <x:c r="L5" s="20" t="str">
        <x:v>A1: 6.5m / 40,644 tok</x:v>
      </x:c>
      <x:c r="M5" s="21" t="n">
        <x:v>40644</x:v>
      </x:c>
      <x:c r="N5" s="27" t="n">
        <x:v>8.94565478919976</x:v>
      </x:c>
      <x:c r="O5" s="20" t="str"/>
      <x:c r="P5" s="20" t="str">
        <x:v>formal-20260805-opencode-v1-task-001-rerun-20260812-task-001-noskill-01</x:v>
      </x:c>
    </x:row>
    <x:row r="6" ht="15" hidden="0" customHeight="1">
      <x:c r="A6" s="22" t="str">
        <x:v>task-001</x:v>
      </x:c>
      <x:c r="B6" s="22" t="str">
        <x:v>Native</x:v>
      </x:c>
      <x:c r="C6" s="22" t="n">
        <x:v>1</x:v>
      </x:c>
      <x:c r="D6" s="22" t="str">
        <x:v>pass</x:v>
      </x:c>
      <x:c r="E6" s="22" t="str">
        <x:v>是</x:v>
      </x:c>
      <x:c r="F6" s="22" t="str">
        <x:v>Readiness → Agent#1 → Verify✓ → Verify✓ → Final✓</x:v>
      </x:c>
      <x:c r="G6" s="23" t="n">
        <x:v>1</x:v>
      </x:c>
      <x:c r="H6" s="23" t="str">
        <x:v>不适用（不加载 PD-VISTA 模块）</x:v>
      </x:c>
      <x:c r="I6" s="23" t="n">
        <x:v>0</x:v>
      </x:c>
      <x:c r="J6" s="23" t="str">
        <x:v>无公开反馈</x:v>
      </x:c>
      <x:c r="K6" s="23" t="n">
        <x:v>0</x:v>
      </x:c>
      <x:c r="L6" s="22" t="str">
        <x:v>A1: 4.3m / 54,261 tok</x:v>
      </x:c>
      <x:c r="M6" s="23" t="n">
        <x:v>54261</x:v>
      </x:c>
      <x:c r="N6" s="28" t="n">
        <x:v>8.248837280116277</x:v>
      </x:c>
      <x:c r="O6" s="22" t="str"/>
      <x:c r="P6" s="22" t="str">
        <x:v>formal-20260805-opencode-v1-task-001-rerun-20260812-task-001-native-01</x:v>
      </x:c>
    </x:row>
    <x:row r="7" ht="15" hidden="0" customHeight="1">
      <x:c r="A7" s="24" t="str">
        <x:v>task-001</x:v>
      </x:c>
      <x:c r="B7" s="24" t="str">
        <x:v>PD-VISTA</x:v>
      </x:c>
      <x:c r="C7" s="24" t="n">
        <x:v>1</x:v>
      </x:c>
      <x:c r="D7" s="24" t="str">
        <x:v>pass</x:v>
      </x:c>
      <x:c r="E7" s="24" t="str">
        <x:v>是</x:v>
      </x:c>
      <x:c r="F7" s="24" t="str">
        <x:v>Readiness → Agent#1 → Verify✓ → Verify✓ → Final✓</x:v>
      </x:c>
      <x:c r="G7" s="25" t="n">
        <x:v>1</x:v>
      </x:c>
      <x:c r="H7" s="25" t="str">
        <x:v>未披露模块</x:v>
      </x:c>
      <x:c r="I7" s="25" t="n">
        <x:v>0</x:v>
      </x:c>
      <x:c r="J7" s="25" t="str">
        <x:v>无公开反馈</x:v>
      </x:c>
      <x:c r="K7" s="25" t="n">
        <x:v>0</x:v>
      </x:c>
      <x:c r="L7" s="24" t="str">
        <x:v>A1: 5.1m / 37,926 tok</x:v>
      </x:c>
      <x:c r="M7" s="25" t="n">
        <x:v>37926</x:v>
      </x:c>
      <x:c r="N7" s="29" t="n">
        <x:v>11.677592949049721</x:v>
      </x:c>
      <x:c r="O7" s="24" t="str"/>
      <x:c r="P7" s="24" t="str">
        <x:v>formal-20260805-opencode-v1-task-001-rerun-20260812-task-001-pd-vista-01</x:v>
      </x:c>
    </x:row>
    <x:row r="8" ht="15" hidden="0" customHeight="1">
      <x:c r="A8" s="20" t="str">
        <x:v>task-001</x:v>
      </x:c>
      <x:c r="B8" s="20" t="str">
        <x:v>No-Skill</x:v>
      </x:c>
      <x:c r="C8" s="20" t="n">
        <x:v>2</x:v>
      </x:c>
      <x:c r="D8" s="20" t="str">
        <x:v>pass</x:v>
      </x:c>
      <x:c r="E8" s="20" t="str">
        <x:v>是</x:v>
      </x:c>
      <x:c r="F8" s="20" t="str">
        <x:v>Readiness → Agent#1 → Verify× → Feedback → Repair → Agent#2 → Repair → Verify✓ → Verify✓ → Final✓</x:v>
      </x:c>
      <x:c r="G8" s="21" t="n">
        <x:v>2</x:v>
      </x:c>
      <x:c r="H8" s="21" t="str">
        <x:v>不适用（不加载 PD-VISTA 模块）</x:v>
      </x:c>
      <x:c r="I8" s="21" t="n">
        <x:v>1</x:v>
      </x:c>
      <x:c r="J8" s="21" t="str">
        <x:v>command_failure</x:v>
      </x:c>
      <x:c r="K8" s="21" t="n">
        <x:v>2</x:v>
      </x:c>
      <x:c r="L8" s="20" t="str">
        <x:v>A1: 6.2m / 35,991 tok | A2: 2.3m / 8,626 tok</x:v>
      </x:c>
      <x:c r="M8" s="21" t="n">
        <x:v>44617</x:v>
      </x:c>
      <x:c r="N8" s="27" t="n">
        <x:v>14.37994530734965</x:v>
      </x:c>
      <x:c r="O8" s="20" t="str"/>
      <x:c r="P8" s="20" t="str">
        <x:v>formal-20260805-opencode-v1-task-001-rerun-20260812-task-001-noskill-02</x:v>
      </x:c>
    </x:row>
    <x:row r="9" ht="15" hidden="0" customHeight="1">
      <x:c r="A9" s="22" t="str">
        <x:v>task-001</x:v>
      </x:c>
      <x:c r="B9" s="22" t="str">
        <x:v>Native</x:v>
      </x:c>
      <x:c r="C9" s="22" t="n">
        <x:v>2</x:v>
      </x:c>
      <x:c r="D9" s="22" t="str">
        <x:v>pass</x:v>
      </x:c>
      <x:c r="E9" s="22" t="str">
        <x:v>是</x:v>
      </x:c>
      <x:c r="F9" s="22" t="str">
        <x:v>Readiness → Agent#1 → Verify✓ → Verify✓ → Final✓</x:v>
      </x:c>
      <x:c r="G9" s="23" t="n">
        <x:v>1</x:v>
      </x:c>
      <x:c r="H9" s="23" t="str">
        <x:v>不适用（不加载 PD-VISTA 模块）</x:v>
      </x:c>
      <x:c r="I9" s="23" t="n">
        <x:v>0</x:v>
      </x:c>
      <x:c r="J9" s="23" t="str">
        <x:v>无公开反馈</x:v>
      </x:c>
      <x:c r="K9" s="23" t="n">
        <x:v>0</x:v>
      </x:c>
      <x:c r="L9" s="22" t="str">
        <x:v>A1: 4.3m / 55,225 tok</x:v>
      </x:c>
      <x:c r="M9" s="23" t="n">
        <x:v>55225</x:v>
      </x:c>
      <x:c r="N9" s="28" t="n">
        <x:v>10.593217946500227</x:v>
      </x:c>
      <x:c r="O9" s="22" t="str"/>
      <x:c r="P9" s="22" t="str">
        <x:v>formal-20260805-opencode-v1-task-001-rerun-20260812-task-001-native-02</x:v>
      </x:c>
    </x:row>
    <x:row r="10" ht="15" hidden="0" customHeight="1">
      <x:c r="A10" s="24" t="str">
        <x:v>task-001</x:v>
      </x:c>
      <x:c r="B10" s="24" t="str">
        <x:v>PD-VISTA</x:v>
      </x:c>
      <x:c r="C10" s="24" t="n">
        <x:v>2</x:v>
      </x:c>
      <x:c r="D10" s="24" t="str">
        <x:v>pass</x:v>
      </x:c>
      <x:c r="E10" s="24" t="str">
        <x:v>是</x:v>
      </x:c>
      <x:c r="F10" s="24" t="str">
        <x:v>Readiness → Agent#1 → Verify✓ → Verify✓ → Final✓</x:v>
      </x:c>
      <x:c r="G10" s="25" t="n">
        <x:v>1</x:v>
      </x:c>
      <x:c r="H10" s="25" t="str">
        <x:v>未披露模块</x:v>
      </x:c>
      <x:c r="I10" s="25" t="n">
        <x:v>0</x:v>
      </x:c>
      <x:c r="J10" s="25" t="str">
        <x:v>无公开反馈</x:v>
      </x:c>
      <x:c r="K10" s="25" t="n">
        <x:v>0</x:v>
      </x:c>
      <x:c r="L10" s="24" t="str">
        <x:v>A1: 4.9m / 37,263 tok</x:v>
      </x:c>
      <x:c r="M10" s="25" t="n">
        <x:v>37263</x:v>
      </x:c>
      <x:c r="N10" s="29" t="n">
        <x:v>10.987466939950052</x:v>
      </x:c>
      <x:c r="O10" s="24" t="str"/>
      <x:c r="P10" s="24" t="str">
        <x:v>formal-20260805-opencode-v1-task-001-rerun-20260812-task-001-pd-vista-02</x:v>
      </x:c>
    </x:row>
    <x:row r="11" ht="15" hidden="0" customHeight="1">
      <x:c r="A11" s="20" t="str">
        <x:v>task-001</x:v>
      </x:c>
      <x:c r="B11" s="20" t="str">
        <x:v>No-Skill</x:v>
      </x:c>
      <x:c r="C11" s="20" t="n">
        <x:v>3</x:v>
      </x:c>
      <x:c r="D11" s="20" t="str">
        <x:v>pass</x:v>
      </x:c>
      <x:c r="E11" s="20" t="str">
        <x:v>是</x:v>
      </x:c>
      <x:c r="F11" s="20" t="str">
        <x:v>Readiness → Agent#1 → Verify✓ → Verify✓ → Final✓</x:v>
      </x:c>
      <x:c r="G11" s="21" t="n">
        <x:v>1</x:v>
      </x:c>
      <x:c r="H11" s="21" t="str">
        <x:v>不适用（不加载 PD-VISTA 模块）</x:v>
      </x:c>
      <x:c r="I11" s="21" t="n">
        <x:v>0</x:v>
      </x:c>
      <x:c r="J11" s="21" t="str">
        <x:v>无公开反馈</x:v>
      </x:c>
      <x:c r="K11" s="21" t="n">
        <x:v>0</x:v>
      </x:c>
      <x:c r="L11" s="20" t="str">
        <x:v>A1: 8.2m / 42,951 tok</x:v>
      </x:c>
      <x:c r="M11" s="21" t="n">
        <x:v>42951</x:v>
      </x:c>
      <x:c r="N11" s="27" t="n">
        <x:v>14.460477320366772</x:v>
      </x:c>
      <x:c r="O11" s="20" t="str"/>
      <x:c r="P11" s="20" t="str">
        <x:v>formal-20260805-opencode-v1-task-001-rerun-20260812-task-001-noskill-03</x:v>
      </x:c>
    </x:row>
    <x:row r="12" ht="15" hidden="0" customHeight="1">
      <x:c r="A12" s="22" t="str">
        <x:v>task-001</x:v>
      </x:c>
      <x:c r="B12" s="22" t="str">
        <x:v>Native</x:v>
      </x:c>
      <x:c r="C12" s="22" t="n">
        <x:v>3</x:v>
      </x:c>
      <x:c r="D12" s="22" t="str">
        <x:v>pass</x:v>
      </x:c>
      <x:c r="E12" s="22" t="str">
        <x:v>是</x:v>
      </x:c>
      <x:c r="F12" s="22" t="str">
        <x:v>Readiness → Agent#1 → Verify✓ → Verify✓ → Final✓</x:v>
      </x:c>
      <x:c r="G12" s="23" t="n">
        <x:v>1</x:v>
      </x:c>
      <x:c r="H12" s="23" t="str">
        <x:v>不适用（不加载 PD-VISTA 模块）</x:v>
      </x:c>
      <x:c r="I12" s="23" t="n">
        <x:v>0</x:v>
      </x:c>
      <x:c r="J12" s="23" t="str">
        <x:v>无公开反馈</x:v>
      </x:c>
      <x:c r="K12" s="23" t="n">
        <x:v>0</x:v>
      </x:c>
      <x:c r="L12" s="22" t="str">
        <x:v>A1: 7.6m / 67,541 tok</x:v>
      </x:c>
      <x:c r="M12" s="23" t="n">
        <x:v>67541</x:v>
      </x:c>
      <x:c r="N12" s="28" t="n">
        <x:v>13.608735869166654</x:v>
      </x:c>
      <x:c r="O12" s="22" t="str"/>
      <x:c r="P12" s="22" t="str">
        <x:v>formal-20260805-opencode-v1-task-001-rerun-20260812-task-001-native-03</x:v>
      </x:c>
    </x:row>
    <x:row r="13" ht="15" hidden="0" customHeight="1">
      <x:c r="A13" s="24" t="str">
        <x:v>task-001</x:v>
      </x:c>
      <x:c r="B13" s="24" t="str">
        <x:v>PD-VISTA</x:v>
      </x:c>
      <x:c r="C13" s="24" t="n">
        <x:v>3</x:v>
      </x:c>
      <x:c r="D13" s="24" t="str">
        <x:v>fail</x:v>
      </x:c>
      <x:c r="E13" s="24" t="str">
        <x:v>是</x:v>
      </x:c>
      <x:c r="F13" s="24" t="str">
        <x:v>Readiness → Agent#1 → Verify× → Feedback → Repair → Agent#2 → Repair → Verify× → Feedback → Repair → Agent#3 → Repair → Verify× → Feedback → Verify× → Final×</x:v>
      </x:c>
      <x:c r="G13" s="25" t="n">
        <x:v>3</x:v>
      </x:c>
      <x:c r="H13" s="25" t="str">
        <x:v>未披露模块</x:v>
      </x:c>
      <x:c r="I13" s="25" t="n">
        <x:v>3</x:v>
      </x:c>
      <x:c r="J13" s="25" t="str">
        <x:v>command_failure</x:v>
      </x:c>
      <x:c r="K13" s="25" t="n">
        <x:v>4</x:v>
      </x:c>
      <x:c r="L13" s="24" t="str">
        <x:v>A1: 3.8m / 7,021 tok | A2: 2.5m / 17,153 tok | A3: 6.1m / 15,955 tok</x:v>
      </x:c>
      <x:c r="M13" s="25" t="n">
        <x:v>40129</x:v>
      </x:c>
      <x:c r="N13" s="29" t="n">
        <x:v>18.235045251266275</x:v>
      </x:c>
      <x:c r="O13" s="24" t="str"/>
      <x:c r="P13" s="24" t="str">
        <x:v>formal-20260805-opencode-v1-task-001-rerun-20260812-task-001-pd-vista-03</x:v>
      </x:c>
    </x:row>
    <x:row r="14" ht="15" hidden="0" customHeight="1">
      <x:c r="A14" s="20" t="str">
        <x:v>task-002</x:v>
      </x:c>
      <x:c r="B14" s="20" t="str">
        <x:v>No-Skill</x:v>
      </x:c>
      <x:c r="C14" s="20" t="n">
        <x:v>1</x:v>
      </x:c>
      <x:c r="D14" s="20" t="str">
        <x:v>fail</x:v>
      </x:c>
      <x:c r="E14" s="20" t="str">
        <x:v>否（未完整组）</x:v>
      </x:c>
      <x:c r="F14" s="20" t="str">
        <x:v>Readiness → Agent#1 → Verify× → Feedback → Repair → Agent#2 → Repair → Verify× → Feedback → Repair → Agent#3 → Repair → Verify× → Feedback → Verify× → Final×</x:v>
      </x:c>
      <x:c r="G14" s="21" t="n">
        <x:v>3</x:v>
      </x:c>
      <x:c r="H14" s="21" t="str">
        <x:v>不适用（不加载 PD-VISTA 模块）</x:v>
      </x:c>
      <x:c r="I14" s="21" t="n">
        <x:v>3</x:v>
      </x:c>
      <x:c r="J14" s="21" t="str">
        <x:v>command_failure</x:v>
      </x:c>
      <x:c r="K14" s="21" t="n">
        <x:v>4</x:v>
      </x:c>
      <x:c r="L14" s="20" t="str">
        <x:v>A1: 4.0m / 45,582 tok | A2: 7.3m / 18,622 tok | A3: 5.8m / 16,233 tok</x:v>
      </x:c>
      <x:c r="M14" s="21" t="n">
        <x:v>80437</x:v>
      </x:c>
      <x:c r="N14" s="27" t="n">
        <x:v>18.693032267999662</x:v>
      </x:c>
      <x:c r="O14" s="20" t="str"/>
      <x:c r="P14" s="20" t="str">
        <x:v>formal-20260805-opencode-v1-task-002-rerun-20260812-task-002-noskill-01</x:v>
      </x:c>
    </x:row>
    <x:row r="15" ht="15" hidden="0" customHeight="1">
      <x:c r="A15" s="22" t="str">
        <x:v>task-002</x:v>
      </x:c>
      <x:c r="B15" s="22" t="str">
        <x:v>Native</x:v>
      </x:c>
      <x:c r="C15" s="22" t="n">
        <x:v>1</x:v>
      </x:c>
      <x:c r="D15" s="22" t="str">
        <x:v>fail</x:v>
      </x:c>
      <x:c r="E15" s="22" t="str">
        <x:v>否（未完整组）</x:v>
      </x:c>
      <x:c r="F15" s="22" t="str">
        <x:v>Readiness → Agent#1 → Verify× → Feedback → Repair → Agent#2 → Repair → Verify× → Feedback → Repair → Agent#3 → Repair → Verify× → Feedback → Verify× → Final×</x:v>
      </x:c>
      <x:c r="G15" s="23" t="n">
        <x:v>3</x:v>
      </x:c>
      <x:c r="H15" s="23" t="str">
        <x:v>不适用（不加载 PD-VISTA 模块）</x:v>
      </x:c>
      <x:c r="I15" s="23" t="n">
        <x:v>3</x:v>
      </x:c>
      <x:c r="J15" s="23" t="str">
        <x:v>command_failure</x:v>
      </x:c>
      <x:c r="K15" s="23" t="n">
        <x:v>4</x:v>
      </x:c>
      <x:c r="L15" s="22" t="str">
        <x:v>A1: 4.1m / 61,739 tok | A2: 11.8m / 29,034 tok | A3: 1.5m / 1,652 tok</x:v>
      </x:c>
      <x:c r="M15" s="23" t="n">
        <x:v>92425</x:v>
      </x:c>
      <x:c r="N15" s="28" t="n">
        <x:v>21.684391790816637</x:v>
      </x:c>
      <x:c r="O15" s="22" t="str"/>
      <x:c r="P15" s="22" t="str">
        <x:v>formal-20260805-opencode-v1-task-002-rerun-20260812-task-002-native-01</x:v>
      </x:c>
    </x:row>
    <x:row r="16" ht="15" hidden="0" customHeight="1">
      <x:c r="A16" s="24" t="str">
        <x:v>task-002</x:v>
      </x:c>
      <x:c r="B16" s="24" t="str">
        <x:v>PD-VISTA</x:v>
      </x:c>
      <x:c r="C16" s="24" t="n">
        <x:v>1</x:v>
      </x:c>
      <x:c r="D16" s="24" t="str">
        <x:v>fail</x:v>
      </x:c>
      <x:c r="E16" s="24" t="str">
        <x:v>否（未完整组）</x:v>
      </x:c>
      <x:c r="F16" s="24" t="str">
        <x:v>Readiness → Agent#1 → Verify× → Feedback → Repair → Agent#2 → Repair → Verify× → Feedback → Repair → Agent#3 → Repair → Verify× → Feedback → Verify× → Final×</x:v>
      </x:c>
      <x:c r="G16" s="25" t="n">
        <x:v>3</x:v>
      </x:c>
      <x:c r="H16" s="25" t="str">
        <x:v>未披露模块</x:v>
      </x:c>
      <x:c r="I16" s="25" t="n">
        <x:v>3</x:v>
      </x:c>
      <x:c r="J16" s="25" t="str">
        <x:v>command_failure</x:v>
      </x:c>
      <x:c r="K16" s="25" t="n">
        <x:v>4</x:v>
      </x:c>
      <x:c r="L16" s="24" t="str">
        <x:v>A1: 3.0m / 53,231 tok | A2: 6.0m / 16,598 tok | A3: 14.7m / 22,028 tok</x:v>
      </x:c>
      <x:c r="M16" s="25" t="n">
        <x:v>91857</x:v>
      </x:c>
      <x:c r="N16" s="29" t="n">
        <x:v>26.201455600533034</x:v>
      </x:c>
      <x:c r="O16" s="24" t="str"/>
      <x:c r="P16" s="24" t="str">
        <x:v>formal-20260805-opencode-v1-task-002-rerun-20260812-task-002-pd-vista-01</x:v>
      </x:c>
    </x:row>
    <x:row r="17" ht="15" hidden="0" customHeight="1">
      <x:c r="A17" s="24" t="str">
        <x:v>task-002</x:v>
      </x:c>
      <x:c r="B17" s="24" t="str">
        <x:v>PD-VISTA</x:v>
      </x:c>
      <x:c r="C17" s="24" t="n">
        <x:v>2</x:v>
      </x:c>
      <x:c r="D17" s="24" t="str">
        <x:v>quarantined</x:v>
      </x:c>
      <x:c r="E17" s="24" t="str">
        <x:v>否（未完整组）</x:v>
      </x:c>
      <x:c r="F17" s="24" t="str">
        <x:v>Readiness → Agent#1 → Verify× → Feedback → Repair → Agent#2 → Agent timeout (1800s) → Final×</x:v>
      </x:c>
      <x:c r="G17" s="25" t="n">
        <x:v>2</x:v>
      </x:c>
      <x:c r="H17" s="25" t="str">
        <x:v>未披露模块</x:v>
      </x:c>
      <x:c r="I17" s="25" t="n">
        <x:v>1</x:v>
      </x:c>
      <x:c r="J17" s="25" t="str">
        <x:v>command_failure</x:v>
      </x:c>
      <x:c r="K17" s="25" t="n">
        <x:v>1</x:v>
      </x:c>
      <x:c r="L17" s="24" t="str">
        <x:v>A1: 14.3m / 109,940 tok | A2: 0.0m / 0 tok timeout 1800s</x:v>
      </x:c>
      <x:c r="M17" s="25" t="n">
        <x:v>109940</x:v>
      </x:c>
      <x:c r="N17" s="29" t="n">
        <x:v>47.055558137733414</x:v>
      </x:c>
      <x:c r="O17" s="24" t="str">
        <x:v>agent_infrastructure_error</x:v>
      </x:c>
      <x:c r="P17" s="24" t="str">
        <x:v>formal-20260805-opencode-v1-task-002-rerun-20260812-task-002-pd-vista-02</x:v>
      </x:c>
    </x:row>
    <x:row r="18" ht="15" hidden="0" customHeight="1">
      <x:c r="A18" s="20" t="str">
        <x:v>task-003</x:v>
      </x:c>
      <x:c r="B18" s="20" t="str">
        <x:v>No-Skill</x:v>
      </x:c>
      <x:c r="C18" s="20" t="n">
        <x:v>1</x:v>
      </x:c>
      <x:c r="D18" s="20" t="str">
        <x:v>fail</x:v>
      </x:c>
      <x:c r="E18" s="20" t="str">
        <x:v>是</x:v>
      </x:c>
      <x:c r="F18" s="20" t="str">
        <x:v>Readiness → Agent#1 → Verify× → Feedback → Repair → Agent#2 → Repair → Verify× → Feedback → Repair → Agent#3 → Repair → Verify× → Feedback → Verify× → Final×</x:v>
      </x:c>
      <x:c r="G18" s="21" t="n">
        <x:v>3</x:v>
      </x:c>
      <x:c r="H18" s="21" t="str">
        <x:v>不适用（不加载 PD-VISTA 模块）</x:v>
      </x:c>
      <x:c r="I18" s="21" t="n">
        <x:v>3</x:v>
      </x:c>
      <x:c r="J18" s="21" t="str">
        <x:v>command_failure</x:v>
      </x:c>
      <x:c r="K18" s="21" t="n">
        <x:v>4</x:v>
      </x:c>
      <x:c r="L18" s="20" t="str">
        <x:v>A1: 3.3m / 32,094 tok | A2: 4.2m / 11,694 tok | A3: 4.5m / 13,569 tok</x:v>
      </x:c>
      <x:c r="M18" s="21" t="n">
        <x:v>57357</x:v>
      </x:c>
      <x:c r="N18" s="27" t="n">
        <x:v>13.950074878350035</x:v>
      </x:c>
      <x:c r="O18" s="20" t="str"/>
      <x:c r="P18" s="20" t="str">
        <x:v>formal-20260805-opencode-v1-task-003-task-003-noskill-01</x:v>
      </x:c>
    </x:row>
    <x:row r="19" ht="15" hidden="0" customHeight="1">
      <x:c r="A19" s="22" t="str">
        <x:v>task-003</x:v>
      </x:c>
      <x:c r="B19" s="22" t="str">
        <x:v>Native</x:v>
      </x:c>
      <x:c r="C19" s="22" t="n">
        <x:v>1</x:v>
      </x:c>
      <x:c r="D19" s="22" t="str">
        <x:v>fail</x:v>
      </x:c>
      <x:c r="E19" s="22" t="str">
        <x:v>是</x:v>
      </x:c>
      <x:c r="F19" s="22" t="str">
        <x:v>Readiness → Agent#1 → Verify× → Feedback → Repair → Agent#2 → Repair → Verify× → Feedback → Repair → Agent#3 → Repair → Verify✓ → Verify× → Final×</x:v>
      </x:c>
      <x:c r="G19" s="23" t="n">
        <x:v>3</x:v>
      </x:c>
      <x:c r="H19" s="23" t="str">
        <x:v>不适用（不加载 PD-VISTA 模块）</x:v>
      </x:c>
      <x:c r="I19" s="23" t="n">
        <x:v>2</x:v>
      </x:c>
      <x:c r="J19" s="23" t="str">
        <x:v>command_failure</x:v>
      </x:c>
      <x:c r="K19" s="23" t="n">
        <x:v>4</x:v>
      </x:c>
      <x:c r="L19" s="22" t="str">
        <x:v>A1: 8.2m / 36,646 tok | A2: 1.7m / 5,355 tok | A3: 3.6m / 15,958 tok</x:v>
      </x:c>
      <x:c r="M19" s="23" t="n">
        <x:v>57959</x:v>
      </x:c>
      <x:c r="N19" s="28" t="n">
        <x:v>15.575877813149903</x:v>
      </x:c>
      <x:c r="O19" s="22" t="str"/>
      <x:c r="P19" s="22" t="str">
        <x:v>formal-20260805-opencode-v1-task-003-task-003-native-01</x:v>
      </x:c>
    </x:row>
    <x:row r="20" ht="15" hidden="0" customHeight="1">
      <x:c r="A20" s="24" t="str">
        <x:v>task-003</x:v>
      </x:c>
      <x:c r="B20" s="24" t="str">
        <x:v>PD-VISTA</x:v>
      </x:c>
      <x:c r="C20" s="24" t="n">
        <x:v>1</x:v>
      </x:c>
      <x:c r="D20" s="24" t="str">
        <x:v>fail</x:v>
      </x:c>
      <x:c r="E20" s="24" t="str">
        <x:v>是</x:v>
      </x:c>
      <x:c r="F20" s="24" t="str">
        <x:v>Readiness → Agent#1 → Verify× → Feedback → Repair → Agent#2 → Repair → Verify× → Feedback → Repair → Agent#3 → Repair → Verify× → Feedback → Verify× → Final×</x:v>
      </x:c>
      <x:c r="G20" s="25" t="n">
        <x:v>3</x:v>
      </x:c>
      <x:c r="H20" s="25" t="str">
        <x:v>未披露模块</x:v>
      </x:c>
      <x:c r="I20" s="25" t="n">
        <x:v>3</x:v>
      </x:c>
      <x:c r="J20" s="25" t="str">
        <x:v>command_failure</x:v>
      </x:c>
      <x:c r="K20" s="25" t="n">
        <x:v>4</x:v>
      </x:c>
      <x:c r="L20" s="24" t="str">
        <x:v>A1: 3.7m / 29,010 tok | A2: 3.9m / 12,029 tok | A3: 6.3m / 21,804 tok</x:v>
      </x:c>
      <x:c r="M20" s="25" t="n">
        <x:v>62843</x:v>
      </x:c>
      <x:c r="N20" s="29" t="n">
        <x:v>15.693200036800409</x:v>
      </x:c>
      <x:c r="O20" s="24" t="str"/>
      <x:c r="P20" s="24" t="str">
        <x:v>formal-20260805-opencode-v1-task-003-task-003-pd-vista-01</x:v>
      </x:c>
    </x:row>
    <x:row r="21" ht="15" hidden="0" customHeight="1">
      <x:c r="A21" s="20" t="str">
        <x:v>task-003</x:v>
      </x:c>
      <x:c r="B21" s="20" t="str">
        <x:v>No-Skill</x:v>
      </x:c>
      <x:c r="C21" s="20" t="n">
        <x:v>2</x:v>
      </x:c>
      <x:c r="D21" s="20" t="str">
        <x:v>fail</x:v>
      </x:c>
      <x:c r="E21" s="20" t="str">
        <x:v>是</x:v>
      </x:c>
      <x:c r="F21" s="20" t="str">
        <x:v>Readiness → Agent#1 → Verify× → Feedback → Repair → Agent#2 → Repair → Verify× → Feedback → Repair → Agent#3 → Repair → Verify× → Feedback → Verify× → Final×</x:v>
      </x:c>
      <x:c r="G21" s="21" t="n">
        <x:v>3</x:v>
      </x:c>
      <x:c r="H21" s="21" t="str">
        <x:v>不适用（不加载 PD-VISTA 模块）</x:v>
      </x:c>
      <x:c r="I21" s="21" t="n">
        <x:v>3</x:v>
      </x:c>
      <x:c r="J21" s="21" t="str">
        <x:v>command_failure</x:v>
      </x:c>
      <x:c r="K21" s="21" t="n">
        <x:v>4</x:v>
      </x:c>
      <x:c r="L21" s="20" t="str">
        <x:v>A1: 5.6m / 24,257 tok | A2: 4.5m / 13,637 tok | A3: 3.7m / 9,815 tok</x:v>
      </x:c>
      <x:c r="M21" s="21" t="n">
        <x:v>47709</x:v>
      </x:c>
      <x:c r="N21" s="27" t="n">
        <x:v>15.547541345232942</x:v>
      </x:c>
      <x:c r="O21" s="20" t="str"/>
      <x:c r="P21" s="20" t="str">
        <x:v>formal-20260805-opencode-v1-task-003-task-003-noskill-02</x:v>
      </x:c>
    </x:row>
    <x:row r="22" ht="15" hidden="0" customHeight="1">
      <x:c r="A22" s="22" t="str">
        <x:v>task-003</x:v>
      </x:c>
      <x:c r="B22" s="22" t="str">
        <x:v>Native</x:v>
      </x:c>
      <x:c r="C22" s="22" t="n">
        <x:v>2</x:v>
      </x:c>
      <x:c r="D22" s="22" t="str">
        <x:v>fail</x:v>
      </x:c>
      <x:c r="E22" s="22" t="str">
        <x:v>是</x:v>
      </x:c>
      <x:c r="F22" s="22" t="str">
        <x:v>Readiness → Agent#1 → Verify× → Feedback → Repair → Agent#2 → Repair → Verify× → Feedback → Repair → Agent#3 → Repair → Verify✓ → Verify× → Final×</x:v>
      </x:c>
      <x:c r="G22" s="23" t="n">
        <x:v>3</x:v>
      </x:c>
      <x:c r="H22" s="23" t="str">
        <x:v>不适用（不加载 PD-VISTA 模块）</x:v>
      </x:c>
      <x:c r="I22" s="23" t="n">
        <x:v>2</x:v>
      </x:c>
      <x:c r="J22" s="23" t="str">
        <x:v>command_failure</x:v>
      </x:c>
      <x:c r="K22" s="23" t="n">
        <x:v>4</x:v>
      </x:c>
      <x:c r="L22" s="22" t="str">
        <x:v>A1: 16.4m / 38,487 tok | A2: 3.8m / 6,569 tok | A3: 9.0m / 20,550 tok</x:v>
      </x:c>
      <x:c r="M22" s="23" t="n">
        <x:v>65606</x:v>
      </x:c>
      <x:c r="N22" s="28" t="n">
        <x:v>31.123824849783464</x:v>
      </x:c>
      <x:c r="O22" s="22" t="str"/>
      <x:c r="P22" s="22" t="str">
        <x:v>formal-20260805-opencode-v1-task-003-task-003-native-02</x:v>
      </x:c>
    </x:row>
    <x:row r="23" ht="15" hidden="0" customHeight="1">
      <x:c r="A23" s="24" t="str">
        <x:v>task-003</x:v>
      </x:c>
      <x:c r="B23" s="24" t="str">
        <x:v>PD-VISTA</x:v>
      </x:c>
      <x:c r="C23" s="24" t="n">
        <x:v>2</x:v>
      </x:c>
      <x:c r="D23" s="24" t="str">
        <x:v>fail</x:v>
      </x:c>
      <x:c r="E23" s="24" t="str">
        <x:v>是</x:v>
      </x:c>
      <x:c r="F23" s="24" t="str">
        <x:v>Readiness → Agent#1 → Verify× → Feedback → Repair → Agent#2 → Repair → Verify× → Feedback → Repair → Agent#3 → Repair → Verify× → Feedback → Verify× → Final×</x:v>
      </x:c>
      <x:c r="G23" s="25" t="n">
        <x:v>3</x:v>
      </x:c>
      <x:c r="H23" s="25" t="str">
        <x:v>未披露模块</x:v>
      </x:c>
      <x:c r="I23" s="25" t="n">
        <x:v>3</x:v>
      </x:c>
      <x:c r="J23" s="25" t="str">
        <x:v>command_failure</x:v>
      </x:c>
      <x:c r="K23" s="25" t="n">
        <x:v>4</x:v>
      </x:c>
      <x:c r="L23" s="24" t="str">
        <x:v>A1: 3.3m / 22,223 tok | A2: 5.8m / 21,158 tok | A3: 3.5m / 15,312 tok</x:v>
      </x:c>
      <x:c r="M23" s="25" t="n">
        <x:v>58693</x:v>
      </x:c>
      <x:c r="N23" s="29" t="n">
        <x:v>14.619610003499838</x:v>
      </x:c>
      <x:c r="O23" s="24" t="str"/>
      <x:c r="P23" s="24" t="str">
        <x:v>formal-20260805-opencode-v1-task-003-task-003-pd-vista-02</x:v>
      </x:c>
    </x:row>
    <x:row r="24" ht="15" hidden="0" customHeight="1">
      <x:c r="A24" s="20" t="str">
        <x:v>task-003</x:v>
      </x:c>
      <x:c r="B24" s="20" t="str">
        <x:v>No-Skill</x:v>
      </x:c>
      <x:c r="C24" s="20" t="n">
        <x:v>3</x:v>
      </x:c>
      <x:c r="D24" s="20" t="str">
        <x:v>fail</x:v>
      </x:c>
      <x:c r="E24" s="20" t="str">
        <x:v>是</x:v>
      </x:c>
      <x:c r="F24" s="20" t="str">
        <x:v>Readiness → Agent#1 → Verify× → Feedback → Repair → Agent#2 → Repair → Verify× → Feedback → Repair → Agent#3 → Repair → Verify× → Feedback → Verify× → Final×</x:v>
      </x:c>
      <x:c r="G24" s="21" t="n">
        <x:v>3</x:v>
      </x:c>
      <x:c r="H24" s="21" t="str">
        <x:v>不适用（不加载 PD-VISTA 模块）</x:v>
      </x:c>
      <x:c r="I24" s="21" t="n">
        <x:v>3</x:v>
      </x:c>
      <x:c r="J24" s="21" t="str">
        <x:v>command_failure</x:v>
      </x:c>
      <x:c r="K24" s="21" t="n">
        <x:v>4</x:v>
      </x:c>
      <x:c r="L24" s="20" t="str">
        <x:v>A1: 5.3m / 21,083 tok | A2: 2.5m / 11,257 tok | A3: 5.8m / 22,390 tok</x:v>
      </x:c>
      <x:c r="M24" s="21" t="n">
        <x:v>54730</x:v>
      </x:c>
      <x:c r="N24" s="27" t="n">
        <x:v>15.468678243366593</x:v>
      </x:c>
      <x:c r="O24" s="20" t="str"/>
      <x:c r="P24" s="20" t="str">
        <x:v>formal-20260805-opencode-v1-task-003-task-003-noskill-03</x:v>
      </x:c>
    </x:row>
    <x:row r="25" ht="15" hidden="0" customHeight="1">
      <x:c r="A25" s="22" t="str">
        <x:v>task-003</x:v>
      </x:c>
      <x:c r="B25" s="22" t="str">
        <x:v>Native</x:v>
      </x:c>
      <x:c r="C25" s="22" t="n">
        <x:v>3</x:v>
      </x:c>
      <x:c r="D25" s="22" t="str">
        <x:v>fail</x:v>
      </x:c>
      <x:c r="E25" s="22" t="str">
        <x:v>是</x:v>
      </x:c>
      <x:c r="F25" s="22" t="str">
        <x:v>Readiness → Agent#1 → Verify✓ → Verify× → Final×</x:v>
      </x:c>
      <x:c r="G25" s="23" t="n">
        <x:v>1</x:v>
      </x:c>
      <x:c r="H25" s="23" t="str">
        <x:v>不适用（不加载 PD-VISTA 模块）</x:v>
      </x:c>
      <x:c r="I25" s="23" t="n">
        <x:v>0</x:v>
      </x:c>
      <x:c r="J25" s="23" t="str">
        <x:v>无公开反馈</x:v>
      </x:c>
      <x:c r="K25" s="23" t="n">
        <x:v>0</x:v>
      </x:c>
      <x:c r="L25" s="22" t="str">
        <x:v>A1: 3.4m / 30,504 tok</x:v>
      </x:c>
      <x:c r="M25" s="23" t="n">
        <x:v>30504</x:v>
      </x:c>
      <x:c r="N25" s="28" t="n">
        <x:v>4.747615899849916</x:v>
      </x:c>
      <x:c r="O25" s="22" t="str"/>
      <x:c r="P25" s="22" t="str">
        <x:v>formal-20260805-opencode-v1-task-003-task-003-native-03</x:v>
      </x:c>
    </x:row>
    <x:row r="26" ht="15" hidden="0" customHeight="1">
      <x:c r="A26" s="24" t="str">
        <x:v>task-003</x:v>
      </x:c>
      <x:c r="B26" s="24" t="str">
        <x:v>PD-VISTA</x:v>
      </x:c>
      <x:c r="C26" s="24" t="n">
        <x:v>3</x:v>
      </x:c>
      <x:c r="D26" s="24" t="str">
        <x:v>fail</x:v>
      </x:c>
      <x:c r="E26" s="24" t="str">
        <x:v>是</x:v>
      </x:c>
      <x:c r="F26" s="24" t="str">
        <x:v>Readiness → Agent#1 → Verify× → Feedback → Repair → Agent#2 → Repair → Verify× → Feedback → Repair → Agent#3 → Repair → Verify× → Feedback → Verify× → Final×</x:v>
      </x:c>
      <x:c r="G26" s="25" t="n">
        <x:v>3</x:v>
      </x:c>
      <x:c r="H26" s="25" t="str">
        <x:v>未披露模块</x:v>
      </x:c>
      <x:c r="I26" s="25" t="n">
        <x:v>3</x:v>
      </x:c>
      <x:c r="J26" s="25" t="str">
        <x:v>command_failure</x:v>
      </x:c>
      <x:c r="K26" s="25" t="n">
        <x:v>4</x:v>
      </x:c>
      <x:c r="L26" s="24" t="str">
        <x:v>A1: 4.8m / 54,336 tok | A2: 4.4m / 18,476 tok | A3: 5.7m / 16,904 tok</x:v>
      </x:c>
      <x:c r="M26" s="25" t="n">
        <x:v>89716</x:v>
      </x:c>
      <x:c r="N26" s="29" t="n">
        <x:v>16.598211009183434</x:v>
      </x:c>
      <x:c r="O26" s="24" t="str"/>
      <x:c r="P26" s="24" t="str">
        <x:v>formal-20260805-opencode-v1-task-003-task-003-pd-vista-03</x:v>
      </x:c>
    </x:row>
    <x:row r="27" ht="15" hidden="0" customHeight="1">
      <x:c r="A27" s="20" t="str">
        <x:v>task-004</x:v>
      </x:c>
      <x:c r="B27" s="20" t="str">
        <x:v>No-Skill</x:v>
      </x:c>
      <x:c r="C27" s="20" t="n">
        <x:v>1</x:v>
      </x:c>
      <x:c r="D27" s="20" t="str">
        <x:v>pass</x:v>
      </x:c>
      <x:c r="E27" s="20" t="str">
        <x:v>是</x:v>
      </x:c>
      <x:c r="F27" s="20" t="str">
        <x:v>Readiness → Agent#1 → Verify✓ → Verify✓ → Final✓</x:v>
      </x:c>
      <x:c r="G27" s="21" t="n">
        <x:v>1</x:v>
      </x:c>
      <x:c r="H27" s="21" t="str">
        <x:v>不适用（不加载 PD-VISTA 模块）</x:v>
      </x:c>
      <x:c r="I27" s="21" t="n">
        <x:v>0</x:v>
      </x:c>
      <x:c r="J27" s="21" t="str">
        <x:v>无公开反馈</x:v>
      </x:c>
      <x:c r="K27" s="21" t="n">
        <x:v>0</x:v>
      </x:c>
      <x:c r="L27" s="20" t="str">
        <x:v>A1: 1.7m / 15,817 tok</x:v>
      </x:c>
      <x:c r="M27" s="21" t="n">
        <x:v>15817</x:v>
      </x:c>
      <x:c r="N27" s="27" t="n">
        <x:v>3.3551972345337466</x:v>
      </x:c>
      <x:c r="O27" s="20" t="str"/>
      <x:c r="P27" s="20" t="str">
        <x:v>formal-20260805-opencode-v1-task-004-task-004-noskill-01</x:v>
      </x:c>
    </x:row>
    <x:row r="28" ht="15" hidden="0" customHeight="1">
      <x:c r="A28" s="22" t="str">
        <x:v>task-004</x:v>
      </x:c>
      <x:c r="B28" s="22" t="str">
        <x:v>Native</x:v>
      </x:c>
      <x:c r="C28" s="22" t="n">
        <x:v>1</x:v>
      </x:c>
      <x:c r="D28" s="22" t="str">
        <x:v>fail</x:v>
      </x:c>
      <x:c r="E28" s="22" t="str">
        <x:v>是</x:v>
      </x:c>
      <x:c r="F28" s="22" t="str">
        <x:v>Readiness → Agent#1 → Verify× → Feedback → Repair → Agent#2 → Repair → Verify× → Feedback → Repair → Agent#3 → Repair → Verify× → Feedback → Verify× → Final×</x:v>
      </x:c>
      <x:c r="G28" s="23" t="n">
        <x:v>3</x:v>
      </x:c>
      <x:c r="H28" s="23" t="str">
        <x:v>不适用（不加载 PD-VISTA 模块）</x:v>
      </x:c>
      <x:c r="I28" s="23" t="n">
        <x:v>3</x:v>
      </x:c>
      <x:c r="J28" s="23" t="str">
        <x:v>command_failure</x:v>
      </x:c>
      <x:c r="K28" s="23" t="n">
        <x:v>4</x:v>
      </x:c>
      <x:c r="L28" s="22" t="str">
        <x:v>A1: 1.2m / 23,816 tok | A2: 5.5m / 16,736 tok | A3: 6.0m / 26,776 tok</x:v>
      </x:c>
      <x:c r="M28" s="23" t="n">
        <x:v>67328</x:v>
      </x:c>
      <x:c r="N28" s="28" t="n">
        <x:v>14.601951292083443</x:v>
      </x:c>
      <x:c r="O28" s="22" t="str"/>
      <x:c r="P28" s="22" t="str">
        <x:v>formal-20260805-opencode-v1-task-004-task-004-native-01</x:v>
      </x:c>
    </x:row>
    <x:row r="29" ht="15" hidden="0" customHeight="1">
      <x:c r="A29" s="24" t="str">
        <x:v>task-004</x:v>
      </x:c>
      <x:c r="B29" s="24" t="str">
        <x:v>PD-VISTA</x:v>
      </x:c>
      <x:c r="C29" s="24" t="n">
        <x:v>1</x:v>
      </x:c>
      <x:c r="D29" s="24" t="str">
        <x:v>pass</x:v>
      </x:c>
      <x:c r="E29" s="24" t="str">
        <x:v>是</x:v>
      </x:c>
      <x:c r="F29" s="24" t="str">
        <x:v>Readiness → Agent#1 → Verify✓ → Verify✓ → Final✓</x:v>
      </x:c>
      <x:c r="G29" s="25" t="n">
        <x:v>1</x:v>
      </x:c>
      <x:c r="H29" s="25" t="str">
        <x:v>未披露模块</x:v>
      </x:c>
      <x:c r="I29" s="25" t="n">
        <x:v>0</x:v>
      </x:c>
      <x:c r="J29" s="25" t="str">
        <x:v>无公开反馈</x:v>
      </x:c>
      <x:c r="K29" s="25" t="n">
        <x:v>0</x:v>
      </x:c>
      <x:c r="L29" s="24" t="str">
        <x:v>A1: 4.3m / 33,054 tok</x:v>
      </x:c>
      <x:c r="M29" s="25" t="n">
        <x:v>33054</x:v>
      </x:c>
      <x:c r="N29" s="29" t="n">
        <x:v>5.687915783882878</x:v>
      </x:c>
      <x:c r="O29" s="24" t="str"/>
      <x:c r="P29" s="24" t="str">
        <x:v>formal-20260805-opencode-v1-task-004-task-004-pd-vista-01</x:v>
      </x:c>
    </x:row>
    <x:row r="30" ht="15" hidden="0" customHeight="1">
      <x:c r="A30" s="20" t="str">
        <x:v>task-004</x:v>
      </x:c>
      <x:c r="B30" s="20" t="str">
        <x:v>No-Skill</x:v>
      </x:c>
      <x:c r="C30" s="20" t="n">
        <x:v>2</x:v>
      </x:c>
      <x:c r="D30" s="20" t="str">
        <x:v>pass</x:v>
      </x:c>
      <x:c r="E30" s="20" t="str">
        <x:v>是</x:v>
      </x:c>
      <x:c r="F30" s="20" t="str">
        <x:v>Readiness → Agent#1 → Verify✓ → Verify✓ → Final✓</x:v>
      </x:c>
      <x:c r="G30" s="21" t="n">
        <x:v>1</x:v>
      </x:c>
      <x:c r="H30" s="21" t="str">
        <x:v>不适用（不加载 PD-VISTA 模块）</x:v>
      </x:c>
      <x:c r="I30" s="21" t="n">
        <x:v>0</x:v>
      </x:c>
      <x:c r="J30" s="21" t="str">
        <x:v>无公开反馈</x:v>
      </x:c>
      <x:c r="K30" s="21" t="n">
        <x:v>0</x:v>
      </x:c>
      <x:c r="L30" s="20" t="str">
        <x:v>A1: 2.9m / 26,715 tok</x:v>
      </x:c>
      <x:c r="M30" s="21" t="n">
        <x:v>26715</x:v>
      </x:c>
      <x:c r="N30" s="27" t="n">
        <x:v>4.535541453299811</x:v>
      </x:c>
      <x:c r="O30" s="20" t="str"/>
      <x:c r="P30" s="20" t="str">
        <x:v>formal-20260805-opencode-v1-task-004-task-004-noskill-02</x:v>
      </x:c>
    </x:row>
    <x:row r="31" ht="15" hidden="0" customHeight="1">
      <x:c r="A31" s="22" t="str">
        <x:v>task-004</x:v>
      </x:c>
      <x:c r="B31" s="22" t="str">
        <x:v>Native</x:v>
      </x:c>
      <x:c r="C31" s="22" t="n">
        <x:v>2</x:v>
      </x:c>
      <x:c r="D31" s="22" t="str">
        <x:v>pass</x:v>
      </x:c>
      <x:c r="E31" s="22" t="str">
        <x:v>是</x:v>
      </x:c>
      <x:c r="F31" s="22" t="str">
        <x:v>Readiness → Agent#1 → Verify✓ → Verify✓ → Final✓</x:v>
      </x:c>
      <x:c r="G31" s="23" t="n">
        <x:v>1</x:v>
      </x:c>
      <x:c r="H31" s="23" t="str">
        <x:v>不适用（不加载 PD-VISTA 模块）</x:v>
      </x:c>
      <x:c r="I31" s="23" t="n">
        <x:v>0</x:v>
      </x:c>
      <x:c r="J31" s="23" t="str">
        <x:v>无公开反馈</x:v>
      </x:c>
      <x:c r="K31" s="23" t="n">
        <x:v>0</x:v>
      </x:c>
      <x:c r="L31" s="22" t="str">
        <x:v>A1: 1.4m / 26,757 tok</x:v>
      </x:c>
      <x:c r="M31" s="23" t="n">
        <x:v>26757</x:v>
      </x:c>
      <x:c r="N31" s="28" t="n">
        <x:v>2.9122804559000843</x:v>
      </x:c>
      <x:c r="O31" s="22" t="str"/>
      <x:c r="P31" s="22" t="str">
        <x:v>formal-20260805-opencode-v1-task-004-task-004-native-02</x:v>
      </x:c>
    </x:row>
    <x:row r="32" ht="15" hidden="0" customHeight="1">
      <x:c r="A32" s="24" t="str">
        <x:v>task-004</x:v>
      </x:c>
      <x:c r="B32" s="24" t="str">
        <x:v>PD-VISTA</x:v>
      </x:c>
      <x:c r="C32" s="24" t="n">
        <x:v>2</x:v>
      </x:c>
      <x:c r="D32" s="24" t="str">
        <x:v>pass</x:v>
      </x:c>
      <x:c r="E32" s="24" t="str">
        <x:v>是</x:v>
      </x:c>
      <x:c r="F32" s="24" t="str">
        <x:v>Readiness → Agent#1 → Verify✓ → Verify✓ → Final✓</x:v>
      </x:c>
      <x:c r="G32" s="25" t="n">
        <x:v>1</x:v>
      </x:c>
      <x:c r="H32" s="25" t="str">
        <x:v>未披露模块</x:v>
      </x:c>
      <x:c r="I32" s="25" t="n">
        <x:v>0</x:v>
      </x:c>
      <x:c r="J32" s="25" t="str">
        <x:v>无公开反馈</x:v>
      </x:c>
      <x:c r="K32" s="25" t="n">
        <x:v>0</x:v>
      </x:c>
      <x:c r="L32" s="24" t="str">
        <x:v>A1: 8.3m / 49,807 tok</x:v>
      </x:c>
      <x:c r="M32" s="25" t="n">
        <x:v>49807</x:v>
      </x:c>
      <x:c r="N32" s="29" t="n">
        <x:v>9.719493005383507</x:v>
      </x:c>
      <x:c r="O32" s="24" t="str"/>
      <x:c r="P32" s="24" t="str">
        <x:v>formal-20260805-opencode-v1-task-004-task-004-pd-vista-02</x:v>
      </x:c>
    </x:row>
    <x:row r="33" ht="15" hidden="0" customHeight="1">
      <x:c r="A33" s="20" t="str">
        <x:v>task-004</x:v>
      </x:c>
      <x:c r="B33" s="20" t="str">
        <x:v>No-Skill</x:v>
      </x:c>
      <x:c r="C33" s="20" t="n">
        <x:v>3</x:v>
      </x:c>
      <x:c r="D33" s="20" t="str">
        <x:v>pass</x:v>
      </x:c>
      <x:c r="E33" s="20" t="str">
        <x:v>是</x:v>
      </x:c>
      <x:c r="F33" s="20" t="str">
        <x:v>Readiness → Agent#1 → Verify✓ → Verify✓ → Final✓</x:v>
      </x:c>
      <x:c r="G33" s="21" t="n">
        <x:v>1</x:v>
      </x:c>
      <x:c r="H33" s="21" t="str">
        <x:v>不适用（不加载 PD-VISTA 模块）</x:v>
      </x:c>
      <x:c r="I33" s="21" t="n">
        <x:v>0</x:v>
      </x:c>
      <x:c r="J33" s="21" t="str">
        <x:v>无公开反馈</x:v>
      </x:c>
      <x:c r="K33" s="21" t="n">
        <x:v>0</x:v>
      </x:c>
      <x:c r="L33" s="20" t="str">
        <x:v>A1: 4.1m / 26,346 tok</x:v>
      </x:c>
      <x:c r="M33" s="21" t="n">
        <x:v>26346</x:v>
      </x:c>
      <x:c r="N33" s="27" t="n">
        <x:v>5.85056056480001</x:v>
      </x:c>
      <x:c r="O33" s="20" t="str"/>
      <x:c r="P33" s="20" t="str">
        <x:v>formal-20260805-opencode-v1-task-004-task-004-noskill-03</x:v>
      </x:c>
    </x:row>
    <x:row r="34" ht="15" hidden="0" customHeight="1">
      <x:c r="A34" s="22" t="str">
        <x:v>task-004</x:v>
      </x:c>
      <x:c r="B34" s="22" t="str">
        <x:v>Native</x:v>
      </x:c>
      <x:c r="C34" s="22" t="n">
        <x:v>3</x:v>
      </x:c>
      <x:c r="D34" s="22" t="str">
        <x:v>pass</x:v>
      </x:c>
      <x:c r="E34" s="22" t="str">
        <x:v>是</x:v>
      </x:c>
      <x:c r="F34" s="22" t="str">
        <x:v>Readiness → Agent#1 → Verify✓ → Verify✓ → Final✓</x:v>
      </x:c>
      <x:c r="G34" s="23" t="n">
        <x:v>1</x:v>
      </x:c>
      <x:c r="H34" s="23" t="str">
        <x:v>不适用（不加载 PD-VISTA 模块）</x:v>
      </x:c>
      <x:c r="I34" s="23" t="n">
        <x:v>0</x:v>
      </x:c>
      <x:c r="J34" s="23" t="str">
        <x:v>无公开反馈</x:v>
      </x:c>
      <x:c r="K34" s="23" t="n">
        <x:v>0</x:v>
      </x:c>
      <x:c r="L34" s="22" t="str">
        <x:v>A1: 1.1m / 20,990 tok</x:v>
      </x:c>
      <x:c r="M34" s="23" t="n">
        <x:v>20990</x:v>
      </x:c>
      <x:c r="N34" s="28" t="n">
        <x:v>2.538035322166979</x:v>
      </x:c>
      <x:c r="O34" s="22" t="str"/>
      <x:c r="P34" s="22" t="str">
        <x:v>formal-20260805-opencode-v1-task-004-task-004-native-03</x:v>
      </x:c>
    </x:row>
    <x:row r="35" ht="15" hidden="0" customHeight="1">
      <x:c r="A35" s="24" t="str">
        <x:v>task-004</x:v>
      </x:c>
      <x:c r="B35" s="24" t="str">
        <x:v>PD-VISTA</x:v>
      </x:c>
      <x:c r="C35" s="24" t="n">
        <x:v>3</x:v>
      </x:c>
      <x:c r="D35" s="24" t="str">
        <x:v>pass</x:v>
      </x:c>
      <x:c r="E35" s="24" t="str">
        <x:v>是</x:v>
      </x:c>
      <x:c r="F35" s="24" t="str">
        <x:v>Readiness → Agent#1 → Verify✓ → Verify✓ → Final✓</x:v>
      </x:c>
      <x:c r="G35" s="25" t="n">
        <x:v>1</x:v>
      </x:c>
      <x:c r="H35" s="25" t="str">
        <x:v>未披露模块</x:v>
      </x:c>
      <x:c r="I35" s="25" t="n">
        <x:v>0</x:v>
      </x:c>
      <x:c r="J35" s="25" t="str">
        <x:v>无公开反馈</x:v>
      </x:c>
      <x:c r="K35" s="25" t="n">
        <x:v>0</x:v>
      </x:c>
      <x:c r="L35" s="24" t="str">
        <x:v>A1: 2.9m / 25,788 tok</x:v>
      </x:c>
      <x:c r="M35" s="25" t="n">
        <x:v>25788</x:v>
      </x:c>
      <x:c r="N35" s="29" t="n">
        <x:v>6.6718840860000155</x:v>
      </x:c>
      <x:c r="O35" s="24" t="str"/>
      <x:c r="P35" s="24" t="str">
        <x:v>formal-20260805-opencode-v1-task-004-task-004-pd-vista-03</x:v>
      </x:c>
    </x:row>
    <x:row r="36" ht="15" hidden="0" customHeight="1">
      <x:c r="A36" s="20" t="str">
        <x:v>task-005</x:v>
      </x:c>
      <x:c r="B36" s="20" t="str">
        <x:v>No-Skill</x:v>
      </x:c>
      <x:c r="C36" s="20" t="n">
        <x:v>1</x:v>
      </x:c>
      <x:c r="D36" s="20" t="str">
        <x:v>pass</x:v>
      </x:c>
      <x:c r="E36" s="20" t="str">
        <x:v>是</x:v>
      </x:c>
      <x:c r="F36" s="20" t="str">
        <x:v>Readiness → Agent#1 → Verify✓ → Verify✓ → Final✓</x:v>
      </x:c>
      <x:c r="G36" s="21" t="n">
        <x:v>1</x:v>
      </x:c>
      <x:c r="H36" s="21" t="str">
        <x:v>不适用（不加载 PD-VISTA 模块）</x:v>
      </x:c>
      <x:c r="I36" s="21" t="n">
        <x:v>0</x:v>
      </x:c>
      <x:c r="J36" s="21" t="str">
        <x:v>无公开反馈</x:v>
      </x:c>
      <x:c r="K36" s="21" t="n">
        <x:v>0</x:v>
      </x:c>
      <x:c r="L36" s="20" t="str">
        <x:v>A1: 1.6m / 20,439 tok</x:v>
      </x:c>
      <x:c r="M36" s="21" t="n">
        <x:v>20439</x:v>
      </x:c>
      <x:c r="N36" s="27" t="n">
        <x:v>4.052468177183376</x:v>
      </x:c>
      <x:c r="O36" s="20" t="str"/>
      <x:c r="P36" s="20" t="str">
        <x:v>formal-20260805-opencode-v1-task-005-rerun-20260811T1255Z-task-005-noskill-01</x:v>
      </x:c>
    </x:row>
    <x:row r="37" ht="15" hidden="0" customHeight="1">
      <x:c r="A37" s="22" t="str">
        <x:v>task-005</x:v>
      </x:c>
      <x:c r="B37" s="22" t="str">
        <x:v>Native</x:v>
      </x:c>
      <x:c r="C37" s="22" t="n">
        <x:v>1</x:v>
      </x:c>
      <x:c r="D37" s="22" t="str">
        <x:v>pass</x:v>
      </x:c>
      <x:c r="E37" s="22" t="str">
        <x:v>是</x:v>
      </x:c>
      <x:c r="F37" s="22" t="str">
        <x:v>Readiness → Agent#1 → Verify✓ → Verify✓ → Final✓</x:v>
      </x:c>
      <x:c r="G37" s="23" t="n">
        <x:v>1</x:v>
      </x:c>
      <x:c r="H37" s="23" t="str">
        <x:v>不适用（不加载 PD-VISTA 模块）</x:v>
      </x:c>
      <x:c r="I37" s="23" t="n">
        <x:v>0</x:v>
      </x:c>
      <x:c r="J37" s="23" t="str">
        <x:v>无公开反馈</x:v>
      </x:c>
      <x:c r="K37" s="23" t="n">
        <x:v>0</x:v>
      </x:c>
      <x:c r="L37" s="22" t="str">
        <x:v>A1: 3.3m / 41,382 tok</x:v>
      </x:c>
      <x:c r="M37" s="23" t="n">
        <x:v>41382</x:v>
      </x:c>
      <x:c r="N37" s="28" t="n">
        <x:v>5.658848636566836</x:v>
      </x:c>
      <x:c r="O37" s="22" t="str"/>
      <x:c r="P37" s="22" t="str">
        <x:v>formal-20260805-opencode-v1-task-005-rerun-20260811T1255Z-task-005-native-01</x:v>
      </x:c>
    </x:row>
    <x:row r="38" ht="15" hidden="0" customHeight="1">
      <x:c r="A38" s="24" t="str">
        <x:v>task-005</x:v>
      </x:c>
      <x:c r="B38" s="24" t="str">
        <x:v>PD-VISTA</x:v>
      </x:c>
      <x:c r="C38" s="24" t="n">
        <x:v>1</x:v>
      </x:c>
      <x:c r="D38" s="24" t="str">
        <x:v>fail</x:v>
      </x:c>
      <x:c r="E38" s="24" t="str">
        <x:v>是</x:v>
      </x:c>
      <x:c r="F38" s="24" t="str">
        <x:v>Readiness → Agent#1 → Verify× → Feedback → Repair → Agent#2 → Repair → Verify× → Feedback → Repair → Agent#3 → Repair → Verify× → Feedback → Verify× → Final×</x:v>
      </x:c>
      <x:c r="G38" s="25" t="n">
        <x:v>3</x:v>
      </x:c>
      <x:c r="H38" s="25" t="str">
        <x:v>planning-with-files</x:v>
      </x:c>
      <x:c r="I38" s="25" t="n">
        <x:v>3</x:v>
      </x:c>
      <x:c r="J38" s="25" t="str">
        <x:v>command_failure</x:v>
      </x:c>
      <x:c r="K38" s="25" t="n">
        <x:v>4</x:v>
      </x:c>
      <x:c r="L38" s="24" t="str">
        <x:v>A1: 2.1m / 31,197 tok | A2: 3.2m / 6,657 tok | A3: 4.0m / 17,562 tok</x:v>
      </x:c>
      <x:c r="M38" s="25" t="n">
        <x:v>55416</x:v>
      </x:c>
      <x:c r="N38" s="29" t="n">
        <x:v>12.428099450400138</x:v>
      </x:c>
      <x:c r="O38" s="24" t="str"/>
      <x:c r="P38" s="24" t="str">
        <x:v>formal-20260805-opencode-v1-task-005-rerun-20260811T1255Z-task-005-pd-vista-01</x:v>
      </x:c>
    </x:row>
    <x:row r="39" ht="15" hidden="0" customHeight="1">
      <x:c r="A39" s="20" t="str">
        <x:v>task-005</x:v>
      </x:c>
      <x:c r="B39" s="20" t="str">
        <x:v>No-Skill</x:v>
      </x:c>
      <x:c r="C39" s="20" t="n">
        <x:v>2</x:v>
      </x:c>
      <x:c r="D39" s="20" t="str">
        <x:v>pass</x:v>
      </x:c>
      <x:c r="E39" s="20" t="str">
        <x:v>是</x:v>
      </x:c>
      <x:c r="F39" s="20" t="str">
        <x:v>Readiness → Agent#1 → Verify✓ → Verify✓ → Final✓</x:v>
      </x:c>
      <x:c r="G39" s="21" t="n">
        <x:v>1</x:v>
      </x:c>
      <x:c r="H39" s="21" t="str">
        <x:v>不适用（不加载 PD-VISTA 模块）</x:v>
      </x:c>
      <x:c r="I39" s="21" t="n">
        <x:v>0</x:v>
      </x:c>
      <x:c r="J39" s="21" t="str">
        <x:v>无公开反馈</x:v>
      </x:c>
      <x:c r="K39" s="21" t="n">
        <x:v>0</x:v>
      </x:c>
      <x:c r="L39" s="20" t="str">
        <x:v>A1: 1.0m / 16,515 tok</x:v>
      </x:c>
      <x:c r="M39" s="21" t="n">
        <x:v>16515</x:v>
      </x:c>
      <x:c r="N39" s="27" t="n">
        <x:v>4.3958301110498725</x:v>
      </x:c>
      <x:c r="O39" s="20" t="str"/>
      <x:c r="P39" s="20" t="str">
        <x:v>formal-20260805-opencode-v1-task-005-rerun-20260811T1255Z-task-005-noskill-02</x:v>
      </x:c>
    </x:row>
    <x:row r="40" ht="15" hidden="0" customHeight="1">
      <x:c r="A40" s="22" t="str">
        <x:v>task-005</x:v>
      </x:c>
      <x:c r="B40" s="22" t="str">
        <x:v>Native</x:v>
      </x:c>
      <x:c r="C40" s="22" t="n">
        <x:v>2</x:v>
      </x:c>
      <x:c r="D40" s="22" t="str">
        <x:v>fail</x:v>
      </x:c>
      <x:c r="E40" s="22" t="str">
        <x:v>是</x:v>
      </x:c>
      <x:c r="F40" s="22" t="str">
        <x:v>Readiness → Agent#1 → Verify× → Feedback → Repair → Agent#2 → Repair → Verify× → Feedback → Repair → Agent#3 → Repair → Verify× → Feedback → Verify× → Final×</x:v>
      </x:c>
      <x:c r="G40" s="23" t="n">
        <x:v>3</x:v>
      </x:c>
      <x:c r="H40" s="23" t="str">
        <x:v>不适用（不加载 PD-VISTA 模块）</x:v>
      </x:c>
      <x:c r="I40" s="23" t="n">
        <x:v>3</x:v>
      </x:c>
      <x:c r="J40" s="23" t="str">
        <x:v>command_failure</x:v>
      </x:c>
      <x:c r="K40" s="23" t="n">
        <x:v>4</x:v>
      </x:c>
      <x:c r="L40" s="22" t="str">
        <x:v>A1: 1.4m / 65,827 tok | A2: 5.6m / 9,392 tok | A3: 3.6m / 14,689 tok</x:v>
      </x:c>
      <x:c r="M40" s="23" t="n">
        <x:v>89908</x:v>
      </x:c>
      <x:c r="N40" s="28" t="n">
        <x:v>15.756028270383347</x:v>
      </x:c>
      <x:c r="O40" s="22" t="str"/>
      <x:c r="P40" s="22" t="str">
        <x:v>formal-20260805-opencode-v1-task-005-rerun-20260811T1255Z-task-005-native-02</x:v>
      </x:c>
    </x:row>
    <x:row r="41" ht="15" hidden="0" customHeight="1">
      <x:c r="A41" s="24" t="str">
        <x:v>task-005</x:v>
      </x:c>
      <x:c r="B41" s="24" t="str">
        <x:v>PD-VISTA</x:v>
      </x:c>
      <x:c r="C41" s="24" t="n">
        <x:v>2</x:v>
      </x:c>
      <x:c r="D41" s="24" t="str">
        <x:v>pass</x:v>
      </x:c>
      <x:c r="E41" s="24" t="str">
        <x:v>是</x:v>
      </x:c>
      <x:c r="F41" s="24" t="str">
        <x:v>Readiness → Agent#1 → Verify× → Feedback → Repair → Agent#2 → Repair → Verify× → Feedback → Repair → Agent#3 → Repair → Verify✓ → Verify✓ → Final✓</x:v>
      </x:c>
      <x:c r="G41" s="25" t="n">
        <x:v>3</x:v>
      </x:c>
      <x:c r="H41" s="25" t="str">
        <x:v>planning-with-files</x:v>
      </x:c>
      <x:c r="I41" s="25" t="n">
        <x:v>2</x:v>
      </x:c>
      <x:c r="J41" s="25" t="str">
        <x:v>command_failure</x:v>
      </x:c>
      <x:c r="K41" s="25" t="n">
        <x:v>4</x:v>
      </x:c>
      <x:c r="L41" s="24" t="str">
        <x:v>A1: 1.7m / 25,585 tok | A2: 4.1m / 9,462 tok | A3: 5.8m / 23,741 tok</x:v>
      </x:c>
      <x:c r="M41" s="25" t="n">
        <x:v>58788</x:v>
      </x:c>
      <x:c r="N41" s="29" t="n">
        <x:v>16.057871505683092</x:v>
      </x:c>
      <x:c r="O41" s="24" t="str"/>
      <x:c r="P41" s="24" t="str">
        <x:v>formal-20260805-opencode-v1-task-005-rerun-20260811T1255Z-task-005-pd-vista-02</x:v>
      </x:c>
    </x:row>
    <x:row r="42" ht="15" hidden="0" customHeight="1">
      <x:c r="A42" s="20" t="str">
        <x:v>task-005</x:v>
      </x:c>
      <x:c r="B42" s="20" t="str">
        <x:v>No-Skill</x:v>
      </x:c>
      <x:c r="C42" s="20" t="n">
        <x:v>3</x:v>
      </x:c>
      <x:c r="D42" s="20" t="str">
        <x:v>pass</x:v>
      </x:c>
      <x:c r="E42" s="20" t="str">
        <x:v>是</x:v>
      </x:c>
      <x:c r="F42" s="20" t="str">
        <x:v>Readiness → Agent#1 → Verify✓ → Verify✓ → Final✓</x:v>
      </x:c>
      <x:c r="G42" s="21" t="n">
        <x:v>1</x:v>
      </x:c>
      <x:c r="H42" s="21" t="str">
        <x:v>不适用（不加载 PD-VISTA 模块）</x:v>
      </x:c>
      <x:c r="I42" s="21" t="n">
        <x:v>0</x:v>
      </x:c>
      <x:c r="J42" s="21" t="str">
        <x:v>无公开反馈</x:v>
      </x:c>
      <x:c r="K42" s="21" t="n">
        <x:v>0</x:v>
      </x:c>
      <x:c r="L42" s="20" t="str">
        <x:v>A1: 1.7m / 20,596 tok</x:v>
      </x:c>
      <x:c r="M42" s="21" t="n">
        <x:v>20596</x:v>
      </x:c>
      <x:c r="N42" s="27" t="n">
        <x:v>8.41501697616671</x:v>
      </x:c>
      <x:c r="O42" s="20" t="str"/>
      <x:c r="P42" s="20" t="str">
        <x:v>formal-20260805-opencode-v1-task-005-rerun-20260811T1255Z-task-005-noskill-03</x:v>
      </x:c>
    </x:row>
    <x:row r="43" ht="15" hidden="0" customHeight="1">
      <x:c r="A43" s="22" t="str">
        <x:v>task-005</x:v>
      </x:c>
      <x:c r="B43" s="22" t="str">
        <x:v>Native</x:v>
      </x:c>
      <x:c r="C43" s="22" t="n">
        <x:v>3</x:v>
      </x:c>
      <x:c r="D43" s="22" t="str">
        <x:v>pass</x:v>
      </x:c>
      <x:c r="E43" s="22" t="str">
        <x:v>是</x:v>
      </x:c>
      <x:c r="F43" s="22" t="str">
        <x:v>Readiness → Agent#1 → Verify✓ → Verify✓ → Final✓</x:v>
      </x:c>
      <x:c r="G43" s="23" t="n">
        <x:v>1</x:v>
      </x:c>
      <x:c r="H43" s="23" t="str">
        <x:v>不适用（不加载 PD-VISTA 模块）</x:v>
      </x:c>
      <x:c r="I43" s="23" t="n">
        <x:v>0</x:v>
      </x:c>
      <x:c r="J43" s="23" t="str">
        <x:v>无公开反馈</x:v>
      </x:c>
      <x:c r="K43" s="23" t="n">
        <x:v>0</x:v>
      </x:c>
      <x:c r="L43" s="22" t="str">
        <x:v>A1: 6.6m / 68,983 tok</x:v>
      </x:c>
      <x:c r="M43" s="23" t="n">
        <x:v>68983</x:v>
      </x:c>
      <x:c r="N43" s="28" t="n">
        <x:v>23.577966812016772</x:v>
      </x:c>
      <x:c r="O43" s="22" t="str"/>
      <x:c r="P43" s="22" t="str">
        <x:v>formal-20260805-opencode-v1-task-005-rerun-20260811T1255Z-task-005-native-03</x:v>
      </x:c>
    </x:row>
    <x:row r="44" ht="15" hidden="0" customHeight="1">
      <x:c r="A44" s="24" t="str">
        <x:v>task-005</x:v>
      </x:c>
      <x:c r="B44" s="24" t="str">
        <x:v>PD-VISTA</x:v>
      </x:c>
      <x:c r="C44" s="24" t="n">
        <x:v>3</x:v>
      </x:c>
      <x:c r="D44" s="24" t="str">
        <x:v>fail</x:v>
      </x:c>
      <x:c r="E44" s="24" t="str">
        <x:v>是</x:v>
      </x:c>
      <x:c r="F44" s="24" t="str">
        <x:v>Readiness → Agent#1 → Verify× → Feedback → Repair → Agent#2 → Repair → Verify× → Feedback → Repair → Agent#3 → Repair → Verify× → Feedback → Verify× → Final×</x:v>
      </x:c>
      <x:c r="G44" s="25" t="n">
        <x:v>3</x:v>
      </x:c>
      <x:c r="H44" s="25" t="str">
        <x:v>planning-with-files</x:v>
      </x:c>
      <x:c r="I44" s="25" t="n">
        <x:v>3</x:v>
      </x:c>
      <x:c r="J44" s="25" t="str">
        <x:v>command_failure</x:v>
      </x:c>
      <x:c r="K44" s="25" t="n">
        <x:v>4</x:v>
      </x:c>
      <x:c r="L44" s="24" t="str">
        <x:v>A1: 2.9m / 35,788 tok | A2: 3.2m / 9,813 tok | A3: 4.5m / 13,147 tok</x:v>
      </x:c>
      <x:c r="M44" s="25" t="n">
        <x:v>58748</x:v>
      </x:c>
      <x:c r="N44" s="29" t="n">
        <x:v>22.049872262883095</x:v>
      </x:c>
      <x:c r="O44" s="24" t="str"/>
      <x:c r="P44" s="24" t="str">
        <x:v>formal-20260805-opencode-v1-task-005-rerun-20260811T1255Z-task-005-pd-vista-03</x:v>
      </x:c>
    </x:row>
  </x:sheetData>
  <x:mergeCells>
    <x:mergeCell ref="A1:O1"/>
    <x:mergeCell ref="A2:O2"/>
  </x:mergeCells>
  <x:conditionalFormatting sqref="D5:D44">
    <x:cfRule type="containsText" dxfId="5" priority="1" operator="containsText" text="pass"/>
    <x:cfRule type="containsText" dxfId="6" priority="2" operator="containsText" text="fail"/>
    <x:cfRule type="containsText" dxfId="7" priority="3" operator="containsText" text="quarantined"/>
  </x:conditionalFormatting>
  <x:pageMargins left="0.7" right="0.7" top="0.75" bottom="0.75" header="0.3" footer="0.3"/>
  <x:tableParts count="1">
    <x:tablePart xmlns:r="http://schemas.openxmlformats.org/officeDocument/2006/relationships" r:id="R315c3a0df8ad47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32" hidden="0" customWidth="1"/>
    <x:col min="4" max="4" width="42" hidden="0" customWidth="1"/>
    <x:col min="5" max="5" width="37" hidden="0" customWidth="1"/>
    <x:col min="6" max="6" width="18" hidden="0" customWidth="1"/>
    <x:col min="7" max="7" width="34" hidden="0" customWidth="1"/>
    <x:col min="8" max="8" width="40" hidden="0" customWidth="1"/>
    <x:col min="9" max="9" width="16" hidden="0" customWidth="1"/>
  </x:cols>
  <x:sheetData>
    <x:row r="1">
      <x:c r="A1" s="31" t="str">
        <x:v>六个 SkillsBench 任务与三种 Skill 条件的结构</x:v>
      </x:c>
    </x:row>
    <x:row r="2">
      <x:c r="A2" s="7" t="str">
        <x:v>No-Skill：不挂载任何 Skill。Native：下列逐项列出实际只读挂载的文件/目录。PD-VISTA：起始包是 routing root（SKILL.md、manifest.yaml、source.yaml、references/、scripts/）；运行期把对应 Native 目录按字节等价复制到 modules/，只依据公开反馈触发器按需披露。</x:v>
      </x:c>
    </x:row>
    <x:row r="4">
      <x:c r="A4" s="11" t="str">
        <x:v>任务</x:v>
      </x:c>
      <x:c r="B4" s="11" t="str">
        <x:v>SkillsBench 基准任务</x:v>
      </x:c>
      <x:c r="C4" s="11" t="str">
        <x:v>领域 / 工作流</x:v>
      </x:c>
      <x:c r="D4" s="11" t="str">
        <x:v>能力目标</x:v>
      </x:c>
      <x:c r="E4" s="11" t="str">
        <x:v>验证方式</x:v>
      </x:c>
      <x:c r="F4" s="11" t="str">
        <x:v>No-Skill</x:v>
      </x:c>
      <x:c r="G4" s="11" t="str">
        <x:v>Native：实际挂载内容</x:v>
      </x:c>
      <x:c r="H4" s="11" t="str">
        <x:v>PD-VISTA：起始与运行期结构</x:v>
      </x:c>
      <x:c r="I4" s="11" t="str">
        <x:v>模块数</x:v>
      </x:c>
    </x:row>
    <x:row r="5">
      <x:c r="A5" s="33" t="str">
        <x:v>task-001</x:v>
      </x:c>
      <x:c r="B5" s="33" t="str">
        <x:v>python-scala-translation</x:v>
      </x:c>
      <x:c r="C5" s="33" t="str">
        <x:v>软件工程 / 实现</x:v>
      </x:c>
      <x:c r="D5" s="33" t="str">
        <x:v>从给定规格实现受限代码变更</x:v>
      </x:c>
      <x:c r="E5" s="33" t="str">
        <x:v>确定性自动化测试</x:v>
      </x:c>
      <x:c r="F5" s="94" t="str">
        <x:v>不挂载 Skill</x:v>
      </x:c>
      <x:c r="G5" s="95" t="str">
        <x:v>6 个目录，各仅 1 个完整 SKILL.md（共 6 个 Markdown）</x:v>
      </x:c>
      <x:c r="H5" s="96" t="str">
        <x:v>起始 routing root；反馈后按需披露 6 个 modules/&lt;skill&gt;/SKILL.md</x:v>
      </x:c>
      <x:c r="I5" s="96" t="n">
        <x:v>6</x:v>
      </x:c>
    </x:row>
    <x:row r="6">
      <x:c r="A6" s="33" t="str">
        <x:v>task-002</x:v>
      </x:c>
      <x:c r="B6" s="33" t="str">
        <x:v>enterprise-information-search</x:v>
      </x:c>
      <x:c r="C6" s="33" t="str">
        <x:v>工具使用 / API 工具执行</x:v>
      </x:c>
      <x:c r="D6" s="33" t="str">
        <x:v>选择工具或 API，并用有效参数调用</x:v>
      </x:c>
      <x:c r="E6" s="33" t="str">
        <x:v>确定性工具调用或结果状态检查</x:v>
      </x:c>
      <x:c r="F6" s="94" t="str">
        <x:v>不挂载 Skill</x:v>
      </x:c>
      <x:c r="G6" s="95" t="str">
        <x:v>1 个目录，仅 1 个完整 SKILL.md</x:v>
      </x:c>
      <x:c r="H6" s="96" t="str">
        <x:v>起始 routing root；反馈后可披露 1 个 modules/enterprise-artifact-search/SKILL.md</x:v>
      </x:c>
      <x:c r="I6" s="96" t="n">
        <x:v>1</x:v>
      </x:c>
    </x:row>
    <x:row r="7">
      <x:c r="A7" s="33" t="str">
        <x:v>task-003</x:v>
      </x:c>
      <x:c r="B7" s="33" t="str">
        <x:v>data-to-d3</x:v>
      </x:c>
      <x:c r="C7" s="33" t="str">
        <x:v>结构化输出 / 受约束生成</x:v>
      </x:c>
      <x:c r="D7" s="33" t="str">
        <x:v>输出符合机器可读契约的结果</x:v>
      </x:c>
      <x:c r="E7" s="33" t="str">
        <x:v>确定性 schema 或精确格式校验</x:v>
      </x:c>
      <x:c r="F7" s="94" t="str">
        <x:v>不挂载 Skill</x:v>
      </x:c>
      <x:c r="G7" s="95" t="str">
        <x:v>1 个目录：SKILL.md + 4 个 JavaScript 示例/检查脚本</x:v>
      </x:c>
      <x:c r="H7" s="96" t="str">
        <x:v>起始 routing root；反馈后可披露同一目录（SKILL.md + 4 个 .js）</x:v>
      </x:c>
      <x:c r="I7" s="96" t="n">
        <x:v>1</x:v>
      </x:c>
    </x:row>
    <x:row r="8">
      <x:c r="A8" s="33" t="str">
        <x:v>task-004</x:v>
      </x:c>
      <x:c r="B8" s="33" t="str">
        <x:v>powerlifting-coef-calc</x:v>
      </x:c>
      <x:c r="C8" s="33" t="str">
        <x:v>定量推理 / 受约束计算</x:v>
      </x:c>
      <x:c r="D8" s="33" t="str">
        <x:v>在显式数值约束下计算或优化</x:v>
      </x:c>
      <x:c r="E8" s="33" t="str">
        <x:v>确定性容差与约束检查</x:v>
      </x:c>
      <x:c r="F8" s="94" t="str">
        <x:v>不挂载 Skill</x:v>
      </x:c>
      <x:c r="G8" s="95" t="str">
        <x:v>3 个目录：powerlifting 仅 SKILL.md；senior-data-scientist 含 3 个参考 MD + 3 个 Python 脚本；xlsx 含 SKILL.md、LICENSE、recalc.py</x:v>
      </x:c>
      <x:c r="H8" s="96" t="str">
        <x:v>起始 routing root；反馈后按模块完整复制上述目录</x:v>
      </x:c>
      <x:c r="I8" s="96" t="n">
        <x:v>3</x:v>
      </x:c>
    </x:row>
    <x:row r="9">
      <x:c r="A9" s="33" t="str">
        <x:v>task-005</x:v>
      </x:c>
      <x:c r="B9" s="33" t="str">
        <x:v>organize-messy-files</x:v>
      </x:c>
      <x:c r="C9" s="33" t="str">
        <x:v>工作流自动化 / 多阶段流程</x:v>
      </x:c>
      <x:c r="D9" s="33" t="str">
        <x:v>完成含可观察中间检查的依赖步骤</x:v>
      </x:c>
      <x:c r="E9" s="33" t="str">
        <x:v>确定性 checkpoint + 最终结果校验</x:v>
      </x:c>
      <x:c r="F9" s="94" t="str">
        <x:v>不挂载 Skill</x:v>
      </x:c>
      <x:c r="G9" s="95" t="str">
        <x:v>5 个目录：file-organizer 仅 SKILL.md；planning-with-files、pdf 含 MD/脚本/模板；docx、pptx 含 SKILL.md、脚本、参考 MD、OOXML schema</x:v>
      </x:c>
      <x:c r="H9" s="96" t="str">
        <x:v>起始 routing root；反馈后按模块完整复制对应多文件目录</x:v>
      </x:c>
      <x:c r="I9" s="96" t="n">
        <x:v>5</x:v>
      </x:c>
    </x:row>
    <x:row r="10">
      <x:c r="A10" s="33" t="str">
        <x:v>task-006</x:v>
      </x:c>
      <x:c r="B10" s="33" t="str">
        <x:v>fix-build-agentops</x:v>
      </x:c>
      <x:c r="C10" s="33" t="str">
        <x:v>软件工程 / 实现修复</x:v>
      </x:c>
      <x:c r="D10" s="33" t="str">
        <x:v>运行测试、解释失败、修复并重新验证</x:v>
      </x:c>
      <x:c r="E10" s="33" t="str">
        <x:v>支持至少一次修复迭代的确定性测试</x:v>
      </x:c>
      <x:c r="F10" s="94" t="str">
        <x:v>不挂载 Skill</x:v>
      </x:c>
      <x:c r="G10" s="95" t="str">
        <x:v>4 个目录：analyze-ci、testing-python、uv-package-manager 各仅 SKILL.md；temporal-python-testing 另含 4 个 resources/*.md</x:v>
      </x:c>
      <x:c r="H10" s="96" t="str">
        <x:v>起始 routing root；反馈后按模块完整复制对应目录</x:v>
      </x:c>
      <x:c r="I10" s="96" t="n">
        <x:v>4</x:v>
      </x:c>
    </x:row>
    <x:row r="13">
      <x:c r="A13" s="93" t="str">
        <x:v>PD-VISTA 模块路由表：模块只在匹配公开反馈类型时披露</x:v>
      </x:c>
    </x:row>
    <x:row r="14">
      <x:c r="A14" s="11" t="str">
        <x:v>任务</x:v>
      </x:c>
      <x:c r="B14" s="11" t="str">
        <x:v>模块 ID</x:v>
      </x:c>
      <x:c r="C14" s="11" t="str">
        <x:v>公开反馈触发器</x:v>
      </x:c>
      <x:c r="D14" s="11" t="str">
        <x:v>模块路径（materialization 后）</x:v>
      </x:c>
      <x:c r="E14" s="11" t="str">
        <x:v>结构说明</x:v>
      </x:c>
    </x:row>
    <x:row r="15">
      <x:c r="A15" s="33" t="str">
        <x:v>task-001</x:v>
      </x:c>
      <x:c r="B15" s="33" t="str">
        <x:v>python-scala-collections</x:v>
      </x:c>
      <x:c r="C15" s="33" t="str">
        <x:v>test_failure, assertion_error</x:v>
      </x:c>
      <x:c r="D15" s="33" t="str">
        <x:v>modules/python-scala-collections/SKILL.md</x:v>
      </x:c>
      <x:c r="E15" s="33" t="str">
        <x:v>原始 native 内容的字节等价模块</x:v>
      </x:c>
    </x:row>
    <x:row r="16">
      <x:c r="A16" s="33" t="str">
        <x:v>task-001</x:v>
      </x:c>
      <x:c r="B16" s="33" t="str">
        <x:v>python-scala-functional</x:v>
      </x:c>
      <x:c r="C16" s="33" t="str">
        <x:v>runtime_error</x:v>
      </x:c>
      <x:c r="D16" s="33" t="str">
        <x:v>modules/python-scala-functional/SKILL.md</x:v>
      </x:c>
      <x:c r="E16" s="33" t="str">
        <x:v>原始 native 内容的字节等价模块</x:v>
      </x:c>
    </x:row>
    <x:row r="17">
      <x:c r="A17" s="33" t="str">
        <x:v>task-001</x:v>
      </x:c>
      <x:c r="B17" s="33" t="str">
        <x:v>python-scala-idioms</x:v>
      </x:c>
      <x:c r="C17" s="33" t="str">
        <x:v>wrong_format</x:v>
      </x:c>
      <x:c r="D17" s="33" t="str">
        <x:v>modules/python-scala-idioms/SKILL.md</x:v>
      </x:c>
      <x:c r="E17" s="33" t="str">
        <x:v>原始 native 内容的字节等价模块</x:v>
      </x:c>
    </x:row>
    <x:row r="18">
      <x:c r="A18" s="33" t="str">
        <x:v>task-001</x:v>
      </x:c>
      <x:c r="B18" s="33" t="str">
        <x:v>python-scala-libraries</x:v>
      </x:c>
      <x:c r="C18" s="33" t="str">
        <x:v>dependency_error</x:v>
      </x:c>
      <x:c r="D18" s="33" t="str">
        <x:v>modules/python-scala-libraries/SKILL.md</x:v>
      </x:c>
      <x:c r="E18" s="33" t="str">
        <x:v>原始 native 内容的字节等价模块</x:v>
      </x:c>
    </x:row>
    <x:row r="19">
      <x:c r="A19" s="33" t="str">
        <x:v>task-001</x:v>
      </x:c>
      <x:c r="B19" s="33" t="str">
        <x:v>python-scala-oop</x:v>
      </x:c>
      <x:c r="C19" s="33" t="str">
        <x:v>test_failure, repeated_failure</x:v>
      </x:c>
      <x:c r="D19" s="33" t="str">
        <x:v>modules/python-scala-oop/SKILL.md</x:v>
      </x:c>
      <x:c r="E19" s="33" t="str">
        <x:v>原始 native 内容的字节等价模块</x:v>
      </x:c>
    </x:row>
    <x:row r="20">
      <x:c r="A20" s="33" t="str">
        <x:v>task-001</x:v>
      </x:c>
      <x:c r="B20" s="33" t="str">
        <x:v>python-scala-syntax-mapping</x:v>
      </x:c>
      <x:c r="C20" s="33" t="str">
        <x:v>schema_error, incomplete_output</x:v>
      </x:c>
      <x:c r="D20" s="33" t="str">
        <x:v>modules/python-scala-syntax-mapping/SKILL.md</x:v>
      </x:c>
      <x:c r="E20" s="33" t="str">
        <x:v>原始 native 内容的字节等价模块</x:v>
      </x:c>
    </x:row>
    <x:row r="21">
      <x:c r="A21" s="33" t="str">
        <x:v>task-002</x:v>
      </x:c>
      <x:c r="B21" s="33" t="str">
        <x:v>enterprise-artifact-search</x:v>
      </x:c>
      <x:c r="C21" s="33" t="str">
        <x:v>incomplete_output, wrong_format, runtime_error, dependency_error</x:v>
      </x:c>
      <x:c r="D21" s="33" t="str">
        <x:v>modules/enterprise-artifact-search/SKILL.md</x:v>
      </x:c>
      <x:c r="E21" s="33" t="str">
        <x:v>原始 native 内容的字节等价模块</x:v>
      </x:c>
    </x:row>
    <x:row r="22">
      <x:c r="A22" s="33" t="str">
        <x:v>task-003</x:v>
      </x:c>
      <x:c r="B22" s="33" t="str">
        <x:v>d3-visualization</x:v>
      </x:c>
      <x:c r="C22" s="33" t="str">
        <x:v>schema_error, wrong_format, test_failure, runtime_error</x:v>
      </x:c>
      <x:c r="D22" s="33" t="str">
        <x:v>modules/d3-visualization/SKILL.md</x:v>
      </x:c>
      <x:c r="E22" s="33" t="str">
        <x:v>原始 native 内容的字节等价模块</x:v>
      </x:c>
    </x:row>
    <x:row r="23">
      <x:c r="A23" s="33" t="str">
        <x:v>task-004</x:v>
      </x:c>
      <x:c r="B23" s="33" t="str">
        <x:v>powerlifting</x:v>
      </x:c>
      <x:c r="C23" s="33" t="str">
        <x:v>schema_error, wrong_format</x:v>
      </x:c>
      <x:c r="D23" s="33" t="str">
        <x:v>modules/powerlifting/SKILL.md</x:v>
      </x:c>
      <x:c r="E23" s="33" t="str">
        <x:v>原始 native 内容的字节等价模块</x:v>
      </x:c>
    </x:row>
    <x:row r="24">
      <x:c r="A24" s="33" t="str">
        <x:v>task-004</x:v>
      </x:c>
      <x:c r="B24" s="33" t="str">
        <x:v>senior-data-scientist</x:v>
      </x:c>
      <x:c r="C24" s="33" t="str">
        <x:v>test_failure, runtime_error</x:v>
      </x:c>
      <x:c r="D24" s="33" t="str">
        <x:v>modules/senior-data-scientist/SKILL.md</x:v>
      </x:c>
      <x:c r="E24" s="33" t="str">
        <x:v>原始 native 内容的字节等价模块</x:v>
      </x:c>
    </x:row>
    <x:row r="25">
      <x:c r="A25" s="33" t="str">
        <x:v>task-004</x:v>
      </x:c>
      <x:c r="B25" s="33" t="str">
        <x:v>xlsx</x:v>
      </x:c>
      <x:c r="C25" s="33" t="str">
        <x:v>dependency_error, incomplete_output</x:v>
      </x:c>
      <x:c r="D25" s="33" t="str">
        <x:v>modules/xlsx/SKILL.md</x:v>
      </x:c>
      <x:c r="E25" s="33" t="str">
        <x:v>原始 native 内容的字节等价模块</x:v>
      </x:c>
    </x:row>
    <x:row r="26">
      <x:c r="A26" s="33" t="str">
        <x:v>task-005</x:v>
      </x:c>
      <x:c r="B26" s="33" t="str">
        <x:v>docx</x:v>
      </x:c>
      <x:c r="C26" s="33" t="str">
        <x:v>wrong_format, dependency_error</x:v>
      </x:c>
      <x:c r="D26" s="33" t="str">
        <x:v>modules/docx/SKILL.md</x:v>
      </x:c>
      <x:c r="E26" s="33" t="str">
        <x:v>原始 native 内容的字节等价模块</x:v>
      </x:c>
    </x:row>
    <x:row r="27">
      <x:c r="A27" s="33" t="str">
        <x:v>task-005</x:v>
      </x:c>
      <x:c r="B27" s="33" t="str">
        <x:v>file-organizer</x:v>
      </x:c>
      <x:c r="C27" s="33" t="str">
        <x:v>test_failure, incomplete_output</x:v>
      </x:c>
      <x:c r="D27" s="33" t="str">
        <x:v>modules/file-organizer/SKILL.md</x:v>
      </x:c>
      <x:c r="E27" s="33" t="str">
        <x:v>原始 native 内容的字节等价模块</x:v>
      </x:c>
    </x:row>
    <x:row r="28">
      <x:c r="A28" s="33" t="str">
        <x:v>task-005</x:v>
      </x:c>
      <x:c r="B28" s="33" t="str">
        <x:v>pdf</x:v>
      </x:c>
      <x:c r="C28" s="33" t="str">
        <x:v>runtime_error, dependency_error</x:v>
      </x:c>
      <x:c r="D28" s="33" t="str">
        <x:v>modules/pdf/SKILL.md</x:v>
      </x:c>
      <x:c r="E28" s="33" t="str">
        <x:v>原始 native 内容的字节等价模块</x:v>
      </x:c>
    </x:row>
    <x:row r="29">
      <x:c r="A29" s="33" t="str">
        <x:v>task-005</x:v>
      </x:c>
      <x:c r="B29" s="33" t="str">
        <x:v>planning-with-files</x:v>
      </x:c>
      <x:c r="C29" s="33" t="str">
        <x:v>incomplete_output, repeated_failure</x:v>
      </x:c>
      <x:c r="D29" s="33" t="str">
        <x:v>modules/planning-with-files/SKILL.md</x:v>
      </x:c>
      <x:c r="E29" s="33" t="str">
        <x:v>原始 native 内容的字节等价模块</x:v>
      </x:c>
    </x:row>
    <x:row r="30">
      <x:c r="A30" s="33" t="str">
        <x:v>task-005</x:v>
      </x:c>
      <x:c r="B30" s="33" t="str">
        <x:v>pptx</x:v>
      </x:c>
      <x:c r="C30" s="33" t="str">
        <x:v>wrong_format, test_failure</x:v>
      </x:c>
      <x:c r="D30" s="33" t="str">
        <x:v>modules/pptx/SKILL.md</x:v>
      </x:c>
      <x:c r="E30" s="33" t="str">
        <x:v>原始 native 内容的字节等价模块</x:v>
      </x:c>
    </x:row>
    <x:row r="31">
      <x:c r="A31" s="33" t="str">
        <x:v>task-006</x:v>
      </x:c>
      <x:c r="B31" s="33" t="str">
        <x:v>analyze-ci</x:v>
      </x:c>
      <x:c r="C31" s="33" t="str">
        <x:v>test_failure, assertion_error</x:v>
      </x:c>
      <x:c r="D31" s="33" t="str">
        <x:v>modules/analyze-ci/SKILL.md</x:v>
      </x:c>
      <x:c r="E31" s="33" t="str">
        <x:v>原始 native 内容的字节等价模块</x:v>
      </x:c>
    </x:row>
    <x:row r="32">
      <x:c r="A32" s="33" t="str">
        <x:v>task-006</x:v>
      </x:c>
      <x:c r="B32" s="33" t="str">
        <x:v>temporal-python-testing</x:v>
      </x:c>
      <x:c r="C32" s="33" t="str">
        <x:v>test_failure, runtime_error</x:v>
      </x:c>
      <x:c r="D32" s="33" t="str">
        <x:v>modules/temporal-python-testing/SKILL.md</x:v>
      </x:c>
      <x:c r="E32" s="33" t="str">
        <x:v>原始 native 内容的字节等价模块</x:v>
      </x:c>
    </x:row>
    <x:row r="33">
      <x:c r="A33" s="33" t="str">
        <x:v>task-006</x:v>
      </x:c>
      <x:c r="B33" s="33" t="str">
        <x:v>testing-python</x:v>
      </x:c>
      <x:c r="C33" s="33" t="str">
        <x:v>assertion_error, repeated_failure</x:v>
      </x:c>
      <x:c r="D33" s="33" t="str">
        <x:v>modules/testing-python/SKILL.md</x:v>
      </x:c>
      <x:c r="E33" s="33" t="str">
        <x:v>原始 native 内容的字节等价模块</x:v>
      </x:c>
    </x:row>
    <x:row r="34">
      <x:c r="A34" s="33" t="str">
        <x:v>task-006</x:v>
      </x:c>
      <x:c r="B34" s="33" t="str">
        <x:v>uv-package-manager</x:v>
      </x:c>
      <x:c r="C34" s="33" t="str">
        <x:v>dependency_error, wrong_format</x:v>
      </x:c>
      <x:c r="D34" s="33" t="str">
        <x:v>modules/uv-package-manager/SKILL.md</x:v>
      </x:c>
      <x:c r="E34" s="33" t="str">
        <x:v>原始 native 内容的字节等价模块</x:v>
      </x:c>
    </x:row>
  </x:sheetData>
  <x:mergeCells>
    <x:mergeCell ref="A1:I1"/>
    <x:mergeCell ref="A2:I2"/>
    <x:mergeCell ref="A13:E13"/>
  </x:mergeCells>
  <x:pageMargins left="0.7" right="0.7" top="0.75" bottom="0.75" header="0.3" footer="0.3"/>
  <x:tableParts count="2">
    <x:tablePart xmlns:r="http://schemas.openxmlformats.org/officeDocument/2006/relationships" r:id="R03c9ce32eacb4013"/>
    <x:tablePart xmlns:r="http://schemas.openxmlformats.org/officeDocument/2006/relationships" r:id="Rdb036b6a4dbd43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4.3800048828125" hidden="0" customWidth="1"/>
    <x:col min="2" max="2" width="45" hidden="0" customWidth="1"/>
    <x:col min="3" max="3" width="70" hidden="0" customWidth="1"/>
    <x:col min="4" max="4" width="7.380000114440918" hidden="0" customWidth="1"/>
    <x:col min="5" max="5" width="10" hidden="0" customWidth="1"/>
    <x:col min="6" max="6" width="10.380000114440918" hidden="0" customWidth="1"/>
    <x:col min="7" max="7" width="24" hidden="0" customWidth="1"/>
    <x:col min="8" max="8" width="11.630000114440918" hidden="0" customWidth="1"/>
    <x:col min="9" max="9" width="10.380000114440918" hidden="0" customWidth="1"/>
    <x:col min="10" max="10" width="10.380000114440918" hidden="0" customWidth="1"/>
    <x:col min="11" max="11" width="11.630000114440918" hidden="0" customWidth="1"/>
    <x:col min="12" max="12" width="11.630000114440918" hidden="0" customWidth="1"/>
    <x:col min="13" max="13" width="9.75" hidden="0" customWidth="1"/>
    <x:col min="14" max="14" width="14" hidden="0" customWidth="1"/>
    <x:col min="15" max="15" width="28" hidden="0" customWidth="1"/>
    <x:col min="16" max="16" width="24" hidden="0" customWidth="1"/>
  </x:cols>
  <x:sheetData>
    <x:row r="1" ht="16.799999237060547" hidden="0" customHeight="1">
      <x:c r="A1" s="36" t="str">
        <x:v>task-003 复测：独立 RunId 的 9 轮执行证据（不计入主汇总）</x:v>
      </x:c>
    </x:row>
    <x:row r="2" ht="15" hidden="0" customHeight="1">
      <x:c r="A2" s="39" t="str">
        <x:v>RunId：formal-20260805-opencode-v1-task-003-rerun-20260812b。此为 task-003 的再次完整执行，保留为复测证据，严格与原 task-003 主分析记录分开；不会改变“总览”“逐 Trial 明细”或“任务×条件”的统计。9 条均正常结束为 task failure，未发生 quarantine。</x:v>
      </x:c>
    </x:row>
    <x:row r="3"/>
    <x:row r="4" ht="15" hidden="0" customHeight="1">
      <x:c r="A4" s="11" t="str">
        <x:v>任务</x:v>
      </x:c>
      <x:c r="B4" s="11" t="str">
        <x:v>RunId</x:v>
      </x:c>
      <x:c r="C4" s="11" t="str">
        <x:v>Trial ID</x:v>
      </x:c>
      <x:c r="D4" s="11" t="str">
        <x:v>条件</x:v>
      </x:c>
      <x:c r="E4" s="11" t="str">
        <x:v>Replicate</x:v>
      </x:c>
      <x:c r="F4" s="11" t="str">
        <x:v>最终状态</x:v>
      </x:c>
      <x:c r="G4" s="11" t="str">
        <x:v>统计归属</x:v>
      </x:c>
      <x:c r="H4" s="11" t="str">
        <x:v>Agent 尝试</x:v>
      </x:c>
      <x:c r="I4" s="11" t="str">
        <x:v>模型请求</x:v>
      </x:c>
      <x:c r="J4" s="11" t="str">
        <x:v>工具调用</x:v>
      </x:c>
      <x:c r="K4" s="11" t="str">
        <x:v>输入 Token</x:v>
      </x:c>
      <x:c r="L4" s="11" t="str">
        <x:v>输出 Token</x:v>
      </x:c>
      <x:c r="M4" s="11" t="str">
        <x:v>总 Token</x:v>
      </x:c>
      <x:c r="N4" s="11" t="str">
        <x:v>时长（分钟）</x:v>
      </x:c>
      <x:c r="O4" s="11" t="str">
        <x:v>终止时间 UTC</x:v>
      </x:c>
      <x:c r="P4" s="11" t="str">
        <x:v>执行性质</x:v>
      </x:c>
    </x:row>
    <x:row r="5" ht="15" hidden="0" customHeight="1">
      <x:c r="A5" s="20" t="str">
        <x:v>task-003</x:v>
      </x:c>
      <x:c r="B5" s="20" t="str">
        <x:v>formal-20260805-opencode-v1-task-003-rerun-20260812b</x:v>
      </x:c>
      <x:c r="C5" s="20" t="str">
        <x:v>formal-20260805-opencode-v1-task-003-rerun-20260812b-task-003-noskill-01</x:v>
      </x:c>
      <x:c r="D5" s="20" t="str">
        <x:v>No-Skill</x:v>
      </x:c>
      <x:c r="E5" s="20" t="n">
        <x:v>1</x:v>
      </x:c>
      <x:c r="F5" s="20" t="str">
        <x:v>fail</x:v>
      </x:c>
      <x:c r="G5" s="20" t="str">
        <x:v>否（复测，不计入主汇总）</x:v>
      </x:c>
      <x:c r="H5" s="21" t="n">
        <x:v>3</x:v>
      </x:c>
      <x:c r="I5" s="21" t="n">
        <x:v>54</x:v>
      </x:c>
      <x:c r="J5" s="21" t="n">
        <x:v>55</x:v>
      </x:c>
      <x:c r="K5" s="21" t="n">
        <x:v>27650</x:v>
      </x:c>
      <x:c r="L5" s="21" t="n">
        <x:v>18703</x:v>
      </x:c>
      <x:c r="M5" s="21" t="n">
        <x:v>46353</x:v>
      </x:c>
      <x:c r="N5" s="27" t="n">
        <x:v>8.353624939333532</x:v>
      </x:c>
      <x:c r="O5" s="20" t="n">
        <x:v>46246.377570625</x:v>
      </x:c>
      <x:c r="P5" s="20" t="str">
        <x:v>task-003 再次完整执行</x:v>
      </x:c>
    </x:row>
    <x:row r="6" ht="15" hidden="0" customHeight="1">
      <x:c r="A6" s="22" t="str">
        <x:v>task-003</x:v>
      </x:c>
      <x:c r="B6" s="22" t="str">
        <x:v>formal-20260805-opencode-v1-task-003-rerun-20260812b</x:v>
      </x:c>
      <x:c r="C6" s="22" t="str">
        <x:v>formal-20260805-opencode-v1-task-003-rerun-20260812b-task-003-native-01</x:v>
      </x:c>
      <x:c r="D6" s="22" t="str">
        <x:v>Native</x:v>
      </x:c>
      <x:c r="E6" s="22" t="n">
        <x:v>1</x:v>
      </x:c>
      <x:c r="F6" s="22" t="str">
        <x:v>fail</x:v>
      </x:c>
      <x:c r="G6" s="22" t="str">
        <x:v>否（复测，不计入主汇总）</x:v>
      </x:c>
      <x:c r="H6" s="23" t="n">
        <x:v>1</x:v>
      </x:c>
      <x:c r="I6" s="23" t="n">
        <x:v>34</x:v>
      </x:c>
      <x:c r="J6" s="23" t="n">
        <x:v>41</x:v>
      </x:c>
      <x:c r="K6" s="23" t="n">
        <x:v>15945</x:v>
      </x:c>
      <x:c r="L6" s="23" t="n">
        <x:v>10532</x:v>
      </x:c>
      <x:c r="M6" s="23" t="n">
        <x:v>26477</x:v>
      </x:c>
      <x:c r="N6" s="28" t="n">
        <x:v>8.234788445166972</x:v>
      </x:c>
      <x:c r="O6" s="22" t="n">
        <x:v>46246.38342190972</x:v>
      </x:c>
      <x:c r="P6" s="22" t="str">
        <x:v>task-003 再次完整执行</x:v>
      </x:c>
    </x:row>
    <x:row r="7" ht="15" hidden="0" customHeight="1">
      <x:c r="A7" s="24" t="str">
        <x:v>task-003</x:v>
      </x:c>
      <x:c r="B7" s="24" t="str">
        <x:v>formal-20260805-opencode-v1-task-003-rerun-20260812b</x:v>
      </x:c>
      <x:c r="C7" s="24" t="str">
        <x:v>formal-20260805-opencode-v1-task-003-rerun-20260812b-task-003-pd-vista-01</x:v>
      </x:c>
      <x:c r="D7" s="24" t="str">
        <x:v>PD-VISTA</x:v>
      </x:c>
      <x:c r="E7" s="24" t="n">
        <x:v>1</x:v>
      </x:c>
      <x:c r="F7" s="24" t="str">
        <x:v>fail</x:v>
      </x:c>
      <x:c r="G7" s="24" t="str">
        <x:v>否（复测，不计入主汇总）</x:v>
      </x:c>
      <x:c r="H7" s="25" t="n">
        <x:v>3</x:v>
      </x:c>
      <x:c r="I7" s="25" t="n">
        <x:v>65</x:v>
      </x:c>
      <x:c r="J7" s="25" t="n">
        <x:v>68</x:v>
      </x:c>
      <x:c r="K7" s="25" t="n">
        <x:v>16171</x:v>
      </x:c>
      <x:c r="L7" s="25" t="n">
        <x:v>25126</x:v>
      </x:c>
      <x:c r="M7" s="25" t="n">
        <x:v>41297</x:v>
      </x:c>
      <x:c r="N7" s="29" t="n">
        <x:v>17.18406094921617</x:v>
      </x:c>
      <x:c r="O7" s="24" t="n">
        <x:v>46246.37162805555</x:v>
      </x:c>
      <x:c r="P7" s="24" t="str">
        <x:v>task-003 再次完整执行</x:v>
      </x:c>
    </x:row>
    <x:row r="8" ht="15" hidden="0" customHeight="1">
      <x:c r="A8" s="20" t="str">
        <x:v>task-003</x:v>
      </x:c>
      <x:c r="B8" s="20" t="str">
        <x:v>formal-20260805-opencode-v1-task-003-rerun-20260812b</x:v>
      </x:c>
      <x:c r="C8" s="20" t="str">
        <x:v>formal-20260805-opencode-v1-task-003-rerun-20260812b-task-003-noskill-02</x:v>
      </x:c>
      <x:c r="D8" s="20" t="str">
        <x:v>No-Skill</x:v>
      </x:c>
      <x:c r="E8" s="20" t="n">
        <x:v>2</x:v>
      </x:c>
      <x:c r="F8" s="20" t="str">
        <x:v>fail</x:v>
      </x:c>
      <x:c r="G8" s="20" t="str">
        <x:v>否（复测，不计入主汇总）</x:v>
      </x:c>
      <x:c r="H8" s="21" t="n">
        <x:v>3</x:v>
      </x:c>
      <x:c r="I8" s="21" t="n">
        <x:v>75</x:v>
      </x:c>
      <x:c r="J8" s="21" t="n">
        <x:v>78</x:v>
      </x:c>
      <x:c r="K8" s="21" t="n">
        <x:v>30824</x:v>
      </x:c>
      <x:c r="L8" s="21" t="n">
        <x:v>21932</x:v>
      </x:c>
      <x:c r="M8" s="21" t="n">
        <x:v>52756</x:v>
      </x:c>
      <x:c r="N8" s="27" t="n">
        <x:v>22.79612620516661</x:v>
      </x:c>
      <x:c r="O8" s="20" t="n">
        <x:v>46246.3993671875</x:v>
      </x:c>
      <x:c r="P8" s="20" t="str">
        <x:v>task-003 再次完整执行</x:v>
      </x:c>
    </x:row>
    <x:row r="9" ht="15" hidden="0" customHeight="1">
      <x:c r="A9" s="22" t="str">
        <x:v>task-003</x:v>
      </x:c>
      <x:c r="B9" s="22" t="str">
        <x:v>formal-20260805-opencode-v1-task-003-rerun-20260812b</x:v>
      </x:c>
      <x:c r="C9" s="22" t="str">
        <x:v>formal-20260805-opencode-v1-task-003-rerun-20260812b-task-003-native-02</x:v>
      </x:c>
      <x:c r="D9" s="22" t="str">
        <x:v>Native</x:v>
      </x:c>
      <x:c r="E9" s="22" t="n">
        <x:v>2</x:v>
      </x:c>
      <x:c r="F9" s="22" t="str">
        <x:v>fail</x:v>
      </x:c>
      <x:c r="G9" s="22" t="str">
        <x:v>否（复测，不计入主汇总）</x:v>
      </x:c>
      <x:c r="H9" s="23" t="n">
        <x:v>1</x:v>
      </x:c>
      <x:c r="I9" s="23" t="n">
        <x:v>58</x:v>
      </x:c>
      <x:c r="J9" s="23" t="n">
        <x:v>60</x:v>
      </x:c>
      <x:c r="K9" s="23" t="n">
        <x:v>19378</x:v>
      </x:c>
      <x:c r="L9" s="23" t="n">
        <x:v>12888</x:v>
      </x:c>
      <x:c r="M9" s="23" t="n">
        <x:v>32266</x:v>
      </x:c>
      <x:c r="N9" s="28" t="n">
        <x:v>9.716640309833261</x:v>
      </x:c>
      <x:c r="O9" s="22" t="n">
        <x:v>46246.40625709491</x:v>
      </x:c>
      <x:c r="P9" s="22" t="str">
        <x:v>task-003 再次完整执行</x:v>
      </x:c>
    </x:row>
    <x:row r="10" ht="15" hidden="0" customHeight="1">
      <x:c r="A10" s="24" t="str">
        <x:v>task-003</x:v>
      </x:c>
      <x:c r="B10" s="24" t="str">
        <x:v>formal-20260805-opencode-v1-task-003-rerun-20260812b</x:v>
      </x:c>
      <x:c r="C10" s="24" t="str">
        <x:v>formal-20260805-opencode-v1-task-003-rerun-20260812b-task-003-pd-vista-02</x:v>
      </x:c>
      <x:c r="D10" s="24" t="str">
        <x:v>PD-VISTA</x:v>
      </x:c>
      <x:c r="E10" s="24" t="n">
        <x:v>2</x:v>
      </x:c>
      <x:c r="F10" s="24" t="str">
        <x:v>fail</x:v>
      </x:c>
      <x:c r="G10" s="24" t="str">
        <x:v>否（复测，不计入主汇总）</x:v>
      </x:c>
      <x:c r="H10" s="25" t="n">
        <x:v>3</x:v>
      </x:c>
      <x:c r="I10" s="25" t="n">
        <x:v>94</x:v>
      </x:c>
      <x:c r="J10" s="25" t="n">
        <x:v>96</x:v>
      </x:c>
      <x:c r="K10" s="25" t="n">
        <x:v>42976</x:v>
      </x:c>
      <x:c r="L10" s="25" t="n">
        <x:v>25385</x:v>
      </x:c>
      <x:c r="M10" s="25" t="n">
        <x:v>68361</x:v>
      </x:c>
      <x:c r="N10" s="29" t="n">
        <x:v>22.75251061784996</x:v>
      </x:c>
      <x:c r="O10" s="24" t="n">
        <x:v>46246.42220601852</x:v>
      </x:c>
      <x:c r="P10" s="24" t="str">
        <x:v>task-003 再次完整执行</x:v>
      </x:c>
    </x:row>
    <x:row r="11" ht="15" hidden="0" customHeight="1">
      <x:c r="A11" s="20" t="str">
        <x:v>task-003</x:v>
      </x:c>
      <x:c r="B11" s="20" t="str">
        <x:v>formal-20260805-opencode-v1-task-003-rerun-20260812b</x:v>
      </x:c>
      <x:c r="C11" s="20" t="str">
        <x:v>formal-20260805-opencode-v1-task-003-rerun-20260812b-task-003-noskill-03</x:v>
      </x:c>
      <x:c r="D11" s="20" t="str">
        <x:v>No-Skill</x:v>
      </x:c>
      <x:c r="E11" s="20" t="n">
        <x:v>3</x:v>
      </x:c>
      <x:c r="F11" s="20" t="str">
        <x:v>fail</x:v>
      </x:c>
      <x:c r="G11" s="20" t="str">
        <x:v>否（复测，不计入主汇总）</x:v>
      </x:c>
      <x:c r="H11" s="21" t="n">
        <x:v>3</x:v>
      </x:c>
      <x:c r="I11" s="21" t="n">
        <x:v>42</x:v>
      </x:c>
      <x:c r="J11" s="21" t="n">
        <x:v>45</x:v>
      </x:c>
      <x:c r="K11" s="21" t="n">
        <x:v>10592</x:v>
      </x:c>
      <x:c r="L11" s="21" t="n">
        <x:v>18908</x:v>
      </x:c>
      <x:c r="M11" s="21" t="n">
        <x:v>29500</x:v>
      </x:c>
      <x:c r="N11" s="27" t="n">
        <x:v>8.382915071349514</x:v>
      </x:c>
      <x:c r="O11" s="20" t="n">
        <x:v>46246.44404023148</x:v>
      </x:c>
      <x:c r="P11" s="20" t="str">
        <x:v>task-003 再次完整执行</x:v>
      </x:c>
    </x:row>
    <x:row r="12" ht="15" hidden="0" customHeight="1">
      <x:c r="A12" s="22" t="str">
        <x:v>task-003</x:v>
      </x:c>
      <x:c r="B12" s="22" t="str">
        <x:v>formal-20260805-opencode-v1-task-003-rerun-20260812b</x:v>
      </x:c>
      <x:c r="C12" s="22" t="str">
        <x:v>formal-20260805-opencode-v1-task-003-rerun-20260812b-task-003-native-03</x:v>
      </x:c>
      <x:c r="D12" s="22" t="str">
        <x:v>Native</x:v>
      </x:c>
      <x:c r="E12" s="22" t="n">
        <x:v>3</x:v>
      </x:c>
      <x:c r="F12" s="22" t="str">
        <x:v>fail</x:v>
      </x:c>
      <x:c r="G12" s="22" t="str">
        <x:v>否（复测，不计入主汇总）</x:v>
      </x:c>
      <x:c r="H12" s="23" t="n">
        <x:v>1</x:v>
      </x:c>
      <x:c r="I12" s="23" t="n">
        <x:v>31</x:v>
      </x:c>
      <x:c r="J12" s="23" t="n">
        <x:v>34</x:v>
      </x:c>
      <x:c r="K12" s="23" t="n">
        <x:v>21798</x:v>
      </x:c>
      <x:c r="L12" s="23" t="n">
        <x:v>10815</x:v>
      </x:c>
      <x:c r="M12" s="23" t="n">
        <x:v>32613</x:v>
      </x:c>
      <x:c r="N12" s="28" t="n">
        <x:v>10.326144498800083</x:v>
      </x:c>
      <x:c r="O12" s="22" t="n">
        <x:v>46246.429523425926</x:v>
      </x:c>
      <x:c r="P12" s="22" t="str">
        <x:v>task-003 再次完整执行</x:v>
      </x:c>
    </x:row>
    <x:row r="13" ht="15" hidden="0" customHeight="1">
      <x:c r="A13" s="24" t="str">
        <x:v>task-003</x:v>
      </x:c>
      <x:c r="B13" s="24" t="str">
        <x:v>formal-20260805-opencode-v1-task-003-rerun-20260812b</x:v>
      </x:c>
      <x:c r="C13" s="24" t="str">
        <x:v>formal-20260805-opencode-v1-task-003-rerun-20260812b-task-003-pd-vista-03</x:v>
      </x:c>
      <x:c r="D13" s="24" t="str">
        <x:v>PD-VISTA</x:v>
      </x:c>
      <x:c r="E13" s="24" t="n">
        <x:v>3</x:v>
      </x:c>
      <x:c r="F13" s="24" t="str">
        <x:v>fail</x:v>
      </x:c>
      <x:c r="G13" s="24" t="str">
        <x:v>否（复测，不计入主汇总）</x:v>
      </x:c>
      <x:c r="H13" s="25" t="n">
        <x:v>3</x:v>
      </x:c>
      <x:c r="I13" s="25" t="n">
        <x:v>67</x:v>
      </x:c>
      <x:c r="J13" s="25" t="n">
        <x:v>68</x:v>
      </x:c>
      <x:c r="K13" s="25" t="n">
        <x:v>25773</x:v>
      </x:c>
      <x:c r="L13" s="25" t="n">
        <x:v>25478</x:v>
      </x:c>
      <x:c r="M13" s="25" t="n">
        <x:v>51251</x:v>
      </x:c>
      <x:c r="N13" s="29" t="n">
        <x:v>12.128597575365953</x:v>
      </x:c>
      <x:c r="O13" s="24" t="n">
        <x:v>46246.4380925</x:v>
      </x:c>
      <x:c r="P13" s="24" t="str">
        <x:v>task-003 再次完整执行</x:v>
      </x:c>
    </x:row>
  </x:sheetData>
  <x:mergeCells>
    <x:mergeCell ref="A1:P1"/>
    <x:mergeCell ref="A2:P2"/>
  </x:mergeCells>
  <x:conditionalFormatting sqref="F5:F13">
    <x:cfRule type="containsText" dxfId="4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996d7bca038841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2" hidden="0" customWidth="1"/>
    <x:col min="12" max="12" width="14" hidden="0" customWidth="1"/>
    <x:col min="13" max="13" width="12" hidden="0" customWidth="1"/>
    <x:col min="14" max="14" width="15" hidden="0" customWidth="1"/>
    <x:col min="15" max="15" width="16" hidden="0" customWidth="1"/>
  </x:cols>
  <x:sheetData>
    <x:row r="1" ht="28" customHeight="1">
      <x:c r="A1" s="100" t="str">
        <x:v>task-002 本机 OpenCode / gpt-5.6-terra（CodexZH）：PD-VISTA 与 Native（v6.4）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</x:row>
    <x:row r="2" ht="28" customHeight="1">
      <x:c r="A2" s="104" t="str">
        <x:v>独立于 2026-08-12 的旧 Docker/OpenCode 任务组；PD-VISTA 3 次、Native 3 次，不含 No-Skill。Windows 系统 OpenCode，Responses API，真实 pytest verifier。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</x:row>
    <x:row r="3" ht="28" customHeight="1">
      <x:c r="A3" s="104" t="str">
        <x:v>v6.3 因 verifier Python 缺少 pytest 而无效，不纳入论文统计；v6.4 在模型调用前完成 5 项 verifier collection readiness。</x:v>
      </x:c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</x:row>
    <x:row r="5">
      <x:c r="A5" s="106" t="str">
        <x:v>批次</x:v>
      </x:c>
      <x:c r="B5" s="106" t="str">
        <x:v>有效 Trial</x:v>
      </x:c>
      <x:c r="C5" s="106" t="str">
        <x:v>最终通过</x:v>
      </x:c>
      <x:c r="D5" s="106" t="str">
        <x:v>最终失败</x:v>
      </x:c>
      <x:c r="E5" s="106" t="str">
        <x:v>首次失败后披露</x:v>
      </x:c>
      <x:c r="F5" s="106" t="str">
        <x:v>披露后访问</x:v>
      </x:c>
      <x:c r="G5" s="106" t="str">
        <x:v>干净完整闭环</x:v>
      </x:c>
      <x:c r="H5" s="106" t="str">
        <x:v>对照组</x:v>
      </x:c>
    </x:row>
    <x:row r="6">
      <x:c r="A6" s="108" t="str">
        <x:v>v6.4 正式</x:v>
      </x:c>
      <x:c r="B6" s="108" t="n">
        <x:v>3</x:v>
      </x:c>
      <x:c r="C6" s="108" t="n">
        <x:f>SUM(O10:O12)</x:f>
        <x:v>1</x:v>
      </x:c>
      <x:c r="D6" s="108" t="n">
        <x:f>B6-C6</x:f>
        <x:v>2</x:v>
      </x:c>
      <x:c r="E6" s="108" t="n">
        <x:f>COUNTIF(M10:M12,1)</x:f>
        <x:v>3</x:v>
      </x:c>
      <x:c r="F6" s="108" t="n">
        <x:f>COUNTIF(N10:N12,"&gt;0")</x:f>
        <x:v>3</x:v>
      </x:c>
      <x:c r="G6" s="108" t="n">
        <x:f>SUM(O10:O12)</x:f>
        <x:v>1</x:v>
      </x:c>
      <x:c r="H6" s="108" t="n">
        <x:v>0</x:v>
      </x:c>
    </x:row>
    <x:row r="9">
      <x:c r="A9" s="110" t="str">
        <x:v>Replicate</x:v>
      </x:c>
      <x:c r="B9" s="110" t="str">
        <x:v>最终状态</x:v>
      </x:c>
      <x:c r="C9" s="110" t="str">
        <x:v>真实 verifier</x:v>
      </x:c>
      <x:c r="D9" s="110" t="str">
        <x:v>轮次</x:v>
      </x:c>
      <x:c r="E9" s="110" t="str">
        <x:v>模型请求</x:v>
      </x:c>
      <x:c r="F9" s="110" t="str">
        <x:v>工具调用</x:v>
      </x:c>
      <x:c r="G9" s="110" t="str">
        <x:v>输入 Token</x:v>
      </x:c>
      <x:c r="H9" s="110" t="str">
        <x:v>输出 Token</x:v>
      </x:c>
      <x:c r="I9" s="110" t="str">
        <x:v>总 Token</x:v>
      </x:c>
      <x:c r="J9" s="110" t="str">
        <x:v>缓存读取 Token</x:v>
      </x:c>
      <x:c r="K9" s="110" t="str">
        <x:v>触发机会</x:v>
      </x:c>
      <x:c r="L9" s="110" t="str">
        <x:v>可路由反馈</x:v>
      </x:c>
      <x:c r="M9" s="110" t="str">
        <x:v>成功披露</x:v>
      </x:c>
      <x:c r="N9" s="110" t="str">
        <x:v>模块访问轮数</x:v>
      </x:c>
      <x:c r="O9" s="110" t="str">
        <x:v>干净完整闭环</x:v>
      </x:c>
    </x:row>
    <x:row r="10">
      <x:c r="A10" s="112" t="n">
        <x:v>1</x:v>
      </x:c>
      <x:c r="B10" s="111" t="str">
        <x:v>failed_max_turns</x:v>
      </x:c>
      <x:c r="C10" s="112" t="str">
        <x:v>fail (4/5)</x:v>
      </x:c>
      <x:c r="D10" s="113" t="n">
        <x:v>6</x:v>
      </x:c>
      <x:c r="E10" s="113" t="n">
        <x:v>28</x:v>
      </x:c>
      <x:c r="F10" s="113" t="n">
        <x:v>41</x:v>
      </x:c>
      <x:c r="G10" s="114" t="n">
        <x:v>928272</x:v>
      </x:c>
      <x:c r="H10" s="114" t="n">
        <x:v>10400</x:v>
      </x:c>
      <x:c r="I10" s="114" t="n">
        <x:v>938672</x:v>
      </x:c>
      <x:c r="J10" s="114" t="n">
        <x:v>3432960</x:v>
      </x:c>
      <x:c r="K10" s="113" t="n">
        <x:v>6</x:v>
      </x:c>
      <x:c r="L10" s="113" t="n">
        <x:v>6</x:v>
      </x:c>
      <x:c r="M10" s="113" t="n">
        <x:v>1</x:v>
      </x:c>
      <x:c r="N10" s="113" t="n">
        <x:v>2</x:v>
      </x:c>
      <x:c r="O10" s="113" t="n">
        <x:v>0</x:v>
      </x:c>
    </x:row>
    <x:row r="11">
      <x:c r="A11" s="112" t="n">
        <x:v>2</x:v>
      </x:c>
      <x:c r="B11" s="111" t="str">
        <x:v>passed_with_clean_vista_feedback_loop</x:v>
      </x:c>
      <x:c r="C11" s="112" t="str">
        <x:v>pass (5/5)</x:v>
      </x:c>
      <x:c r="D11" s="113" t="n">
        <x:v>4</x:v>
      </x:c>
      <x:c r="E11" s="113" t="n">
        <x:v>30</x:v>
      </x:c>
      <x:c r="F11" s="113" t="n">
        <x:v>34</x:v>
      </x:c>
      <x:c r="G11" s="114" t="n">
        <x:v>986253</x:v>
      </x:c>
      <x:c r="H11" s="114" t="n">
        <x:v>6266</x:v>
      </x:c>
      <x:c r="I11" s="114" t="n">
        <x:v>992519</x:v>
      </x:c>
      <x:c r="J11" s="114" t="n">
        <x:v>4014336</x:v>
      </x:c>
      <x:c r="K11" s="113" t="n">
        <x:v>3</x:v>
      </x:c>
      <x:c r="L11" s="113" t="n">
        <x:v>3</x:v>
      </x:c>
      <x:c r="M11" s="113" t="n">
        <x:v>1</x:v>
      </x:c>
      <x:c r="N11" s="113" t="n">
        <x:v>2</x:v>
      </x:c>
      <x:c r="O11" s="113" t="n">
        <x:v>1</x:v>
      </x:c>
    </x:row>
    <x:row r="12">
      <x:c r="A12" s="112" t="n">
        <x:v>3</x:v>
      </x:c>
      <x:c r="B12" s="111" t="str">
        <x:v>failed_max_turns</x:v>
      </x:c>
      <x:c r="C12" s="112" t="str">
        <x:v>fail (4/5)</x:v>
      </x:c>
      <x:c r="D12" s="113" t="n">
        <x:v>6</x:v>
      </x:c>
      <x:c r="E12" s="113" t="n">
        <x:v>31</x:v>
      </x:c>
      <x:c r="F12" s="113" t="n">
        <x:v>40</x:v>
      </x:c>
      <x:c r="G12" s="114" t="n">
        <x:v>1034247</x:v>
      </x:c>
      <x:c r="H12" s="114" t="n">
        <x:v>9233</x:v>
      </x:c>
      <x:c r="I12" s="114" t="n">
        <x:v>1043480</x:v>
      </x:c>
      <x:c r="J12" s="114" t="n">
        <x:v>4326144</x:v>
      </x:c>
      <x:c r="K12" s="113" t="n">
        <x:v>6</x:v>
      </x:c>
      <x:c r="L12" s="113" t="n">
        <x:v>6</x:v>
      </x:c>
      <x:c r="M12" s="113" t="n">
        <x:v>1</x:v>
      </x:c>
      <x:c r="N12" s="113" t="n">
        <x:v>1</x:v>
      </x:c>
      <x:c r="O12" s="113" t="n">
        <x:v>0</x:v>
      </x:c>
    </x:row>
    <x:row r="15">
      <x:c r="A15" s="116" t="str">
        <x:v>v6.3 无效诊断批次（明确排除，不计入任何成功率或 VISTA 机制统计）</x:v>
      </x:c>
      <x:c r="B15" s="116"/>
      <x:c r="C15" s="116"/>
      <x:c r="D15" s="116"/>
      <x:c r="E15" s="116"/>
      <x:c r="F15" s="116"/>
      <x:c r="G15" s="116"/>
      <x:c r="H15" s="116"/>
      <x:c r="I15" s="116"/>
      <x:c r="J15" s="116"/>
      <x:c r="K15" s="116"/>
      <x:c r="L15" s="116"/>
      <x:c r="M15" s="116"/>
      <x:c r="N15" s="116"/>
      <x:c r="O15" s="116"/>
    </x:row>
    <x:row r="16">
      <x:c r="A16" s="117" t="str">
        <x:v>批次</x:v>
      </x:c>
      <x:c r="B16" s="117" t="str">
        <x:v>Replicate</x:v>
      </x:c>
      <x:c r="C16" s="117" t="str">
        <x:v>记录状态</x:v>
      </x:c>
      <x:c r="D16" s="117" t="str">
        <x:v>无效原因</x:v>
      </x:c>
      <x:c r="E16" s="117" t="str">
        <x:v>模型任务已运行</x:v>
      </x:c>
      <x:c r="F16" s="117" t="str">
        <x:v>论文纳入</x:v>
      </x:c>
    </x:row>
    <x:row r="17" ht="22" customHeight="1">
      <x:c r="A17" s="119" t="str">
        <x:v>v6.3</x:v>
      </x:c>
      <x:c r="B17" s="119" t="n">
        <x:v>1</x:v>
      </x:c>
      <x:c r="C17" s="119" t="str">
        <x:v>invalid_infrastructure</x:v>
      </x:c>
      <x:c r="D17" s="119" t="str">
        <x:v>verifier 缺少 pytest</x:v>
      </x:c>
      <x:c r="E17" s="119" t="str">
        <x:v>是</x:v>
      </x:c>
      <x:c r="F17" s="119" t="str">
        <x:v>否</x:v>
      </x:c>
    </x:row>
    <x:row r="18" ht="22" customHeight="1">
      <x:c r="A18" s="119" t="str">
        <x:v>v6.3</x:v>
      </x:c>
      <x:c r="B18" s="119" t="n">
        <x:v>2</x:v>
      </x:c>
      <x:c r="C18" s="119" t="str">
        <x:v>invalid_infrastructure</x:v>
      </x:c>
      <x:c r="D18" s="119" t="str">
        <x:v>verifier 缺少 pytest</x:v>
      </x:c>
      <x:c r="E18" s="119" t="str">
        <x:v>是</x:v>
      </x:c>
      <x:c r="F18" s="119" t="str">
        <x:v>否</x:v>
      </x:c>
    </x:row>
    <x:row r="19" ht="22" customHeight="1">
      <x:c r="A19" s="119" t="str">
        <x:v>v6.3</x:v>
      </x:c>
      <x:c r="B19" s="119" t="n">
        <x:v>3</x:v>
      </x:c>
      <x:c r="C19" s="119" t="str">
        <x:v>invalid_infrastructure</x:v>
      </x:c>
      <x:c r="D19" s="119" t="str">
        <x:v>verifier 缺少 pytest</x:v>
      </x:c>
      <x:c r="E19" s="119" t="str">
        <x:v>是</x:v>
      </x:c>
      <x:c r="F19" s="119" t="str">
        <x:v>否</x:v>
      </x:c>
    </x:row>
    <x:row r="22" ht="30" customHeight="1">
      <x:c r="A22" s="121" t="str">
        <x:v>结论：首次失败后立即披露 3/3；披露后至少一次模块访问 3/3；最终通过及干净完整闭环 1/3。失败两次均为 q1 实体集合不完整（最终 4/5 checks passed）。</x:v>
      </x:c>
      <x:c r="B22" s="121"/>
      <x:c r="C22" s="121"/>
      <x:c r="D22" s="121"/>
      <x:c r="E22" s="121"/>
      <x:c r="F22" s="121"/>
      <x:c r="G22" s="121"/>
      <x:c r="H22" s="121"/>
      <x:c r="I22" s="121"/>
      <x:c r="J22" s="121"/>
      <x:c r="K22" s="121"/>
      <x:c r="L22" s="121"/>
      <x:c r="M22" s="121"/>
      <x:c r="N22" s="121"/>
      <x:c r="O22" s="121"/>
    </x:row>
    <x:row r="23" ht="30" customHeight="1">
      <x:c r="A23" s="121" t="str">
        <x:v>证据目录：D:\vista\data\raw\formal-vista-v64-real-verifier-task002-20260819；v6.3 诊断目录同级 formal-vista-v63-responses-retry-task002-20260819。</x:v>
      </x:c>
      <x:c r="B23" s="121"/>
      <x:c r="C23" s="121"/>
      <x:c r="D23" s="121"/>
      <x:c r="E23" s="121"/>
      <x:c r="F23" s="121"/>
      <x:c r="G23" s="121"/>
      <x:c r="H23" s="121"/>
      <x:c r="I23" s="121"/>
      <x:c r="J23" s="121"/>
      <x:c r="K23" s="121"/>
      <x:c r="L23" s="121"/>
      <x:c r="M23" s="121"/>
      <x:c r="N23" s="121"/>
      <x:c r="O23" s="121"/>
    </x:row>
    <x:row r="25">
      <x:c r="A25" s="123" t="str">
        <x:v>Native 三次正式测试（完整 enterprise-artifact-search Skill 首轮预加载）</x:v>
      </x:c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5" t="str">
        <x:v>Replicate</x:v>
      </x:c>
      <x:c r="B26" s="125" t="str">
        <x:v>最终状态</x:v>
      </x:c>
      <x:c r="C26" s="125" t="str">
        <x:v>真实 verifier</x:v>
      </x:c>
      <x:c r="D26" s="125" t="str">
        <x:v>轮次</x:v>
      </x:c>
      <x:c r="E26" s="125" t="str">
        <x:v>模型请求</x:v>
      </x:c>
      <x:c r="F26" s="125" t="str">
        <x:v>工具调用</x:v>
      </x:c>
      <x:c r="G26" s="125" t="str">
        <x:v>输入 Token</x:v>
      </x:c>
      <x:c r="H26" s="125" t="str">
        <x:v>输出 Token</x:v>
      </x:c>
      <x:c r="I26" s="125" t="str">
        <x:v>总 Token</x:v>
      </x:c>
      <x:c r="J26" s="125" t="str">
        <x:v>缓存读取 Token</x:v>
      </x:c>
      <x:c r="K26" s="125" t="str">
        <x:v>公开反馈轮数</x:v>
      </x:c>
      <x:c r="L26" s="125" t="str">
        <x:v>Parser/Router 路由</x:v>
      </x:c>
      <x:c r="M26" s="125" t="str">
        <x:v>动态披露</x:v>
      </x:c>
      <x:c r="N26" s="125" t="str">
        <x:v>Native Skill 访问轮数</x:v>
      </x:c>
      <x:c r="O26" s="125" t="str">
        <x:v>最终通过</x:v>
      </x:c>
    </x:row>
    <x:row r="27">
      <x:c r="A27" s="128" t="n">
        <x:v>1</x:v>
      </x:c>
      <x:c r="B27" s="127" t="str">
        <x:v>failed_max_turns</x:v>
      </x:c>
      <x:c r="C27" s="128" t="str">
        <x:v>4/5 passed</x:v>
      </x:c>
      <x:c r="D27" s="129" t="n">
        <x:v>6</x:v>
      </x:c>
      <x:c r="E27" s="129" t="n">
        <x:v>38</x:v>
      </x:c>
      <x:c r="F27" s="129" t="n">
        <x:v>40</x:v>
      </x:c>
      <x:c r="G27" s="130" t="n">
        <x:v>1468996</x:v>
      </x:c>
      <x:c r="H27" s="130" t="n">
        <x:v>11060</x:v>
      </x:c>
      <x:c r="I27" s="130" t="n">
        <x:v>1480056</x:v>
      </x:c>
      <x:c r="J27" s="130" t="n">
        <x:v>3494400</x:v>
      </x:c>
      <x:c r="K27" s="129" t="n">
        <x:v>6</x:v>
      </x:c>
      <x:c r="L27" s="129" t="n">
        <x:v>0</x:v>
      </x:c>
      <x:c r="M27" s="129" t="n">
        <x:v>0</x:v>
      </x:c>
      <x:c r="N27" s="129" t="n">
        <x:v>2</x:v>
      </x:c>
      <x:c r="O27" s="129" t="n">
        <x:v>0</x:v>
      </x:c>
    </x:row>
    <x:row r="28">
      <x:c r="A28" s="128" t="n">
        <x:v>2</x:v>
      </x:c>
      <x:c r="B28" s="127" t="str">
        <x:v>failed_max_turns</x:v>
      </x:c>
      <x:c r="C28" s="128" t="str">
        <x:v>1/5 passed</x:v>
      </x:c>
      <x:c r="D28" s="129" t="n">
        <x:v>6</x:v>
      </x:c>
      <x:c r="E28" s="129" t="n">
        <x:v>30</x:v>
      </x:c>
      <x:c r="F28" s="129" t="n">
        <x:v>41</x:v>
      </x:c>
      <x:c r="G28" s="130" t="n">
        <x:v>1577979</x:v>
      </x:c>
      <x:c r="H28" s="130" t="n">
        <x:v>9273</x:v>
      </x:c>
      <x:c r="I28" s="130" t="n">
        <x:v>1587252</x:v>
      </x:c>
      <x:c r="J28" s="130" t="n">
        <x:v>3142656</x:v>
      </x:c>
      <x:c r="K28" s="129" t="n">
        <x:v>6</x:v>
      </x:c>
      <x:c r="L28" s="129" t="n">
        <x:v>0</x:v>
      </x:c>
      <x:c r="M28" s="129" t="n">
        <x:v>0</x:v>
      </x:c>
      <x:c r="N28" s="129" t="n">
        <x:v>2</x:v>
      </x:c>
      <x:c r="O28" s="129" t="n">
        <x:v>0</x:v>
      </x:c>
    </x:row>
    <x:row r="29">
      <x:c r="A29" s="128" t="n">
        <x:v>3</x:v>
      </x:c>
      <x:c r="B29" s="127" t="str">
        <x:v>failed_max_turns</x:v>
      </x:c>
      <x:c r="C29" s="128" t="str">
        <x:v>3/5 passed</x:v>
      </x:c>
      <x:c r="D29" s="129" t="n">
        <x:v>6</x:v>
      </x:c>
      <x:c r="E29" s="129" t="n">
        <x:v>28</x:v>
      </x:c>
      <x:c r="F29" s="129" t="n">
        <x:v>27</x:v>
      </x:c>
      <x:c r="G29" s="130" t="n">
        <x:v>517269</x:v>
      </x:c>
      <x:c r="H29" s="130" t="n">
        <x:v>9407</x:v>
      </x:c>
      <x:c r="I29" s="130" t="n">
        <x:v>526676</x:v>
      </x:c>
      <x:c r="J29" s="130" t="n">
        <x:v>1896192</x:v>
      </x:c>
      <x:c r="K29" s="129" t="n">
        <x:v>6</x:v>
      </x:c>
      <x:c r="L29" s="129" t="n">
        <x:v>0</x:v>
      </x:c>
      <x:c r="M29" s="129" t="n">
        <x:v>0</x:v>
      </x:c>
      <x:c r="N29" s="129" t="n">
        <x:v>2</x:v>
      </x:c>
      <x:c r="O29" s="129" t="n">
        <x:v>0</x:v>
      </x:c>
    </x:row>
    <x:row r="32">
      <x:c r="A32" s="134" t="str">
        <x:v>条件</x:v>
      </x:c>
      <x:c r="B32" s="134" t="str">
        <x:v>Trial</x:v>
      </x:c>
      <x:c r="C32" s="134" t="str">
        <x:v>最终通过</x:v>
      </x:c>
      <x:c r="D32" s="134" t="str">
        <x:v>通过率</x:v>
      </x:c>
      <x:c r="E32" s="134" t="str">
        <x:v>首轮完整 Skill 可见</x:v>
      </x:c>
      <x:c r="F32" s="134" t="str">
        <x:v>首轮实际访问</x:v>
      </x:c>
      <x:c r="G32" s="134" t="str">
        <x:v>动态披露</x:v>
      </x:c>
      <x:c r="H32" s="134" t="str">
        <x:v>干净完整 VISTA 闭环</x:v>
      </x:c>
    </x:row>
    <x:row r="33">
      <x:c r="A33" s="135" t="str">
        <x:v>PD-VISTA</x:v>
      </x:c>
      <x:c r="B33" s="135" t="n">
        <x:v>3</x:v>
      </x:c>
      <x:c r="C33" s="135" t="n">
        <x:f>SUM(O10:O12)</x:f>
        <x:v>1</x:v>
      </x:c>
      <x:c r="D33" s="136" t="n">
        <x:f>C33/B33</x:f>
        <x:v>0.3333333333333333</x:v>
      </x:c>
      <x:c r="E33" s="135" t="str">
        <x:v>否</x:v>
      </x:c>
      <x:c r="F33" s="135" t="str">
        <x:v>0/3</x:v>
      </x:c>
      <x:c r="G33" s="135" t="n">
        <x:v>3</x:v>
      </x:c>
      <x:c r="H33" s="135" t="n">
        <x:v>1</x:v>
      </x:c>
    </x:row>
    <x:row r="34">
      <x:c r="A34" s="135" t="str">
        <x:v>Native</x:v>
      </x:c>
      <x:c r="B34" s="135" t="n">
        <x:v>3</x:v>
      </x:c>
      <x:c r="C34" s="135" t="n">
        <x:f>SUM(O27:O29)</x:f>
        <x:v>0</x:v>
      </x:c>
      <x:c r="D34" s="136" t="n">
        <x:f>C34/B34</x:f>
        <x:v>0</x:v>
      </x:c>
      <x:c r="E34" s="135" t="str">
        <x:v>是</x:v>
      </x:c>
      <x:c r="F34" s="135" t="str">
        <x:v>3/3</x:v>
      </x:c>
      <x:c r="G34" s="135" t="n">
        <x:v>0</x:v>
      </x:c>
      <x:c r="H34" s="135" t="str">
        <x:v>N/A</x:v>
      </x:c>
    </x:row>
    <x:row r="36" ht="30" customHeight="1">
      <x:c r="A36" s="139" t="str">
        <x:v>同协议初步结果：PD-VISTA 1/3 通过，Native 0/3 通过。Native 首轮 skill 访问 3/3，但未转化为成功；因此本批不支持“完整预加载必然优于延迟披露”。</x:v>
      </x:c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</x:row>
    <x:row r="37" ht="30" customHeight="1">
      <x:c r="A37" s="139" t="str">
        <x:v>Native 证据目录：D:\vista\data\raw\formal-native-v64-real-verifier-task002-20260819。三次均为独立 session，API/verifier 基础设施错误为 0。</x:v>
      </x:c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</x:row>
  </x:sheetData>
  <x:mergeCells>
    <x:mergeCell ref="A1:O1"/>
    <x:mergeCell ref="A2:O2"/>
    <x:mergeCell ref="A3:O3"/>
    <x:mergeCell ref="A15:O15"/>
    <x:mergeCell ref="A22:O22"/>
    <x:mergeCell ref="A23:O23"/>
    <x:mergeCell ref="A25:O25"/>
    <x:mergeCell ref="A36:O36"/>
    <x:mergeCell ref="A37:O37"/>
  </x:mergeCells>
  <x:pageMargins left="0.7" right="0.7" top="0.75" bottom="0.75" header="0.3" footer="0.3"/>
  <x:tableParts count="4">
    <x:tablePart xmlns:r="http://schemas.openxmlformats.org/officeDocument/2006/relationships" r:id="R3bda493391d94fc2"/>
    <x:tablePart xmlns:r="http://schemas.openxmlformats.org/officeDocument/2006/relationships" r:id="R857a858455454dba"/>
    <x:tablePart xmlns:r="http://schemas.openxmlformats.org/officeDocument/2006/relationships" r:id="R9bc24e49d7a4411d"/>
    <x:tablePart xmlns:r="http://schemas.openxmlformats.org/officeDocument/2006/relationships" r:id="R9d8a61c204984f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2" hidden="0" customWidth="1"/>
    <x:col min="4" max="4" width="30" hidden="0" customWidth="1"/>
    <x:col min="5" max="5" width="31" hidden="0" customWidth="1"/>
    <x:col min="6" max="6" width="25" hidden="0" customWidth="1"/>
    <x:col min="7" max="7" width="28" hidden="0" customWidth="1"/>
    <x:col min="8" max="8" width="28" hidden="0" customWidth="1"/>
    <x:col min="9" max="9" width="14" hidden="0" customWidth="1"/>
    <x:col min="10" max="10" width="12" hidden="0" customWidth="1"/>
    <x:col min="11" max="11" width="12" hidden="0" customWidth="1"/>
    <x:col min="12" max="12" width="15" hidden="0" customWidth="1"/>
    <x:col min="13" max="13" width="25" hidden="0" customWidth="1"/>
    <x:col min="14" max="14" width="38" hidden="0" customWidth="1"/>
  </x:cols>
  <x:sheetData>
    <x:row r="1" ht="30" customHeight="1">
      <x:c r="A1" s="143" t="str">
        <x:v>task-007 travel-planning：PD-VISTA v6.5 诊断批次（不计入论文效能统计）</x:v>
      </x:c>
      <x:c r="B1" s="143"/>
      <x:c r="C1" s="143"/>
      <x:c r="D1" s="143"/>
      <x:c r="E1" s="143"/>
      <x:c r="F1" s="143"/>
      <x:c r="G1" s="143"/>
      <x:c r="H1" s="143"/>
      <x:c r="I1" s="143"/>
      <x:c r="J1" s="143"/>
      <x:c r="K1" s="143"/>
      <x:c r="L1" s="143"/>
      <x:c r="M1" s="143"/>
      <x:c r="N1" s="143"/>
    </x:row>
    <x:row r="2" ht="27" customHeight="1">
      <x:c r="A2" s="147" t="str">
        <x:v>与旧 Docker/六项正式任务、task-002 v6.4 分开。r2 因 Windows verifier 默认编码污染而排除；r3 已修正为 UTF-8，但被 provider 非重试型 HTTP 403 中断。两批均不得用于成功率或 clean-closure 估计。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</x:row>
    <x:row r="3" ht="27" customHeight="1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</x:row>
    <x:row r="5">
      <x:c r="A5" s="169" t="str">
        <x:v>批次</x:v>
      </x:c>
      <x:c r="B5" s="169" t="str">
        <x:v>分类</x:v>
      </x:c>
      <x:c r="C5" s="169" t="str">
        <x:v>计划重复</x:v>
      </x:c>
      <x:c r="D5" s="169" t="str">
        <x:v>已启动/完成</x:v>
      </x:c>
      <x:c r="E5" s="169" t="str">
        <x:v>可计效能 Trial</x:v>
      </x:c>
      <x:c r="F5" s="169" t="str">
        <x:v>核心问题</x:v>
      </x:c>
      <x:c r="G5" s="169" t="str">
        <x:v>论文纳入</x:v>
      </x:c>
      <x:c r="H5" s="169" t="str">
        <x:v>证据目录</x:v>
      </x:c>
    </x:row>
    <x:row r="6" ht="82" customHeight="1">
      <x:c r="A6" s="170" t="str">
        <x:v>v6.5r2</x:v>
      </x:c>
      <x:c r="B6" s="170" t="str">
        <x:v>invalid_verifier_adaptation</x:v>
      </x:c>
      <x:c r="C6" s="171" t="n">
        <x:v>2</x:v>
      </x:c>
      <x:c r="D6" s="171" t="n">
        <x:v>2</x:v>
      </x:c>
      <x:c r="E6" s="171" t="n">
        <x:v>0</x:v>
      </x:c>
      <x:c r="F6" s="170" t="str">
        <x:v>Windows 默认编码导致 restaurant CSV UnicodeDecodeError；该错误错误驱动了后续反馈与披露。</x:v>
      </x:c>
      <x:c r="G6" s="170" t="str">
        <x:v>否</x:v>
      </x:c>
      <x:c r="H6" s="170" t="str">
        <x:v>D:\vista\data\raw\formal-vista-v65r2-travel-planning-gpt56terra-20260819</x:v>
      </x:c>
    </x:row>
    <x:row r="7" ht="82" customHeight="1">
      <x:c r="A7" s="170" t="str">
        <x:v>v6.5r3</x:v>
      </x:c>
      <x:c r="B7" s="170" t="str">
        <x:v>quarantined_provider_policy</x:v>
      </x:c>
      <x:c r="C7" s="171" t="n">
        <x:v>2</x:v>
      </x:c>
      <x:c r="D7" s="171" t="n">
        <x:v>1</x:v>
      </x:c>
      <x:c r="E7" s="171" t="n">
        <x:v>0</x:v>
      </x:c>
      <x:c r="F7" s="170" t="str">
        <x:v>UTF-8 verifier 已等价；replicate-01 第 2 回合被 CodexZH HTTP 403 非重试型策略拒绝。</x:v>
      </x:c>
      <x:c r="G7" s="170" t="str">
        <x:v>否</x:v>
      </x:c>
      <x:c r="H7" s="170" t="str">
        <x:v>D:\vista\data\raw\formal-vista-v65r3-travel-planning-gpt56terra-20260819</x:v>
      </x:c>
    </x:row>
    <x:row r="8">
      <x:c r="A8" s="172" t="str">
        <x:v>诊断批次合计</x:v>
      </x:c>
      <x:c r="B8" s="172"/>
      <x:c r="C8" s="173" t="n">
        <x:f>SUM(C6:C7)</x:f>
        <x:v>4</x:v>
      </x:c>
      <x:c r="D8" s="173" t="n">
        <x:f>SUM(D6:D7)</x:f>
        <x:v>3</x:v>
      </x:c>
      <x:c r="E8" s="173" t="n">
        <x:f>SUM(E6:E7)</x:f>
        <x:v>0</x:v>
      </x:c>
      <x:c r="F8" s="172" t="str">
        <x:v>仅作诊断记录</x:v>
      </x:c>
      <x:c r="G8" s="172" t="str">
        <x:v>否</x:v>
      </x:c>
      <x:c r="H8" s="172" t="str">
        <x:v>不纳入正式总体表</x:v>
      </x:c>
    </x:row>
    <x:row r="10">
      <x:c r="A10" s="157" t="str">
        <x:v>机制与验证器证据（观察性记录，不等于完整实验结果）</x:v>
      </x:c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</x:row>
    <x:row r="11">
      <x:c r="A11" s="174" t="str">
        <x:v>批次</x:v>
      </x:c>
      <x:c r="B11" s="174" t="str">
        <x:v>Replicate</x:v>
      </x:c>
      <x:c r="C11" s="174" t="str">
        <x:v>回合范围</x:v>
      </x:c>
      <x:c r="D11" s="174" t="str">
        <x:v>首个真实诊断</x:v>
      </x:c>
      <x:c r="E11" s="174" t="str">
        <x:v>披露模块</x:v>
      </x:c>
      <x:c r="F11" s="174" t="str">
        <x:v>后续真实访问</x:v>
      </x:c>
      <x:c r="G11" s="174" t="str">
        <x:v>最终/末次 verifier</x:v>
      </x:c>
      <x:c r="H11" s="174" t="str">
        <x:v>触发机会</x:v>
      </x:c>
      <x:c r="I11" s="174" t="str">
        <x:v>可路由反馈</x:v>
      </x:c>
      <x:c r="J11" s="174" t="str">
        <x:v>成功披露</x:v>
      </x:c>
      <x:c r="K11" s="174" t="str">
        <x:v>访问轮数</x:v>
      </x:c>
      <x:c r="L11" s="174" t="str">
        <x:v>航班干扰披露</x:v>
      </x:c>
      <x:c r="M11" s="174" t="str">
        <x:v>状态</x:v>
      </x:c>
      <x:c r="N11" s="174" t="str">
        <x:v>解释</x:v>
      </x:c>
    </x:row>
    <x:row r="12" ht="72" customHeight="1">
      <x:c r="A12" s="170" t="str">
        <x:v>v6.5r2</x:v>
      </x:c>
      <x:c r="B12" s="171" t="n">
        <x:v>1</x:v>
      </x:c>
      <x:c r="C12" s="170" t="str">
        <x:v>1–6</x:v>
      </x:c>
      <x:c r="D12" s="170" t="str">
        <x:v>turn-1: attraction empty；另含编码型伪失败</x:v>
      </x:c>
      <x:c r="E12" s="170" t="str">
        <x:v>search-attractions → search-cities → search-accommodations</x:v>
      </x:c>
      <x:c r="F12" s="170" t="str">
        <x:v>三者均有读取事件</x:v>
      </x:c>
      <x:c r="G12" s="170" t="str">
        <x:v>最终输出修正编码后 10/10 passed</x:v>
      </x:c>
      <x:c r="H12" s="171" t="n">
        <x:v>6</x:v>
      </x:c>
      <x:c r="I12" s="171" t="n">
        <x:v>6</x:v>
      </x:c>
      <x:c r="J12" s="171" t="n">
        <x:v>3</x:v>
      </x:c>
      <x:c r="K12" s="171" t="n">
        <x:v>3</x:v>
      </x:c>
      <x:c r="L12" s="170" t="str">
        <x:v>否</x:v>
      </x:c>
      <x:c r="M12" s="170" t="str">
        <x:v>invalid_verifier_adaptation</x:v>
      </x:c>
      <x:c r="N12" s="170" t="str">
        <x:v>最终内容可通过，但路由轨迹已被错误 verifier 污染，不能回溯当作成功闭环。</x:v>
      </x:c>
    </x:row>
    <x:row r="13" ht="72" customHeight="1">
      <x:c r="A13" s="170" t="str">
        <x:v>v6.5r2</x:v>
      </x:c>
      <x:c r="B13" s="171" t="n">
        <x:v>2</x:v>
      </x:c>
      <x:c r="C13" s="170" t="str">
        <x:v>1–4</x:v>
      </x:c>
      <x:c r="D13" s="170" t="str">
        <x:v>turn-1: itinerary.json missing</x:v>
      </x:c>
      <x:c r="E13" s="170" t="str">
        <x:v>search-cities</x:v>
      </x:c>
      <x:c r="F13" s="170" t="str">
        <x:v>search-cities</x:v>
      </x:c>
      <x:c r="G13" s="170" t="str">
        <x:v>turn-4 内容达到 9/10 后 provider 403</x:v>
      </x:c>
      <x:c r="H13" s="171" t="n">
        <x:v>3</x:v>
      </x:c>
      <x:c r="I13" s="171" t="n">
        <x:v>3</x:v>
      </x:c>
      <x:c r="J13" s="171" t="n">
        <x:v>1</x:v>
      </x:c>
      <x:c r="K13" s="171" t="n">
        <x:v>1</x:v>
      </x:c>
      <x:c r="L13" s="170" t="str">
        <x:v>否</x:v>
      </x:c>
      <x:c r="M13" s="170" t="str">
        <x:v>quarantined_provider_policy</x:v>
      </x:c>
      <x:c r="N13" s="170" t="str">
        <x:v>同批还受早期 verifier 适配问题影响；不计效能。</x:v>
      </x:c>
    </x:row>
    <x:row r="14" ht="72" customHeight="1">
      <x:c r="A14" s="175" t="str">
        <x:v>v6.5r3</x:v>
      </x:c>
      <x:c r="B14" s="176" t="n">
        <x:v>1</x:v>
      </x:c>
      <x:c r="C14" s="175" t="str">
        <x:v>1–2</x:v>
      </x:c>
      <x:c r="D14" s="175" t="str">
        <x:v>turn-1: pet-friendly accommodation missing（9/10）</x:v>
      </x:c>
      <x:c r="E14" s="175" t="str">
        <x:v>search-accommodations</x:v>
      </x:c>
      <x:c r="F14" s="175" t="str">
        <x:v>search-accommodations</x:v>
      </x:c>
      <x:c r="G14" s="175" t="str">
        <x:v>turn-2 仍 9/10；修复中被 provider 403</x:v>
      </x:c>
      <x:c r="H14" s="176" t="n">
        <x:v>1</x:v>
      </x:c>
      <x:c r="I14" s="176" t="n">
        <x:v>1</x:v>
      </x:c>
      <x:c r="J14" s="176" t="n">
        <x:v>1</x:v>
      </x:c>
      <x:c r="K14" s="176" t="n">
        <x:v>1</x:v>
      </x:c>
      <x:c r="L14" s="175" t="str">
        <x:v>否</x:v>
      </x:c>
      <x:c r="M14" s="175" t="str">
        <x:v>quarantined_provider_policy</x:v>
      </x:c>
      <x:c r="N14" s="175" t="str">
        <x:v>首次诊断→即时披露→下一轮真实读取成立；但无最终闭环且第 2 replicate 未启动。</x:v>
      </x:c>
    </x:row>
    <x:row r="16">
      <x:c r="A16" s="157" t="str">
        <x:v>实现修正与当前结论</x:v>
      </x:c>
      <x:c r="B16" s="157"/>
      <x:c r="C16" s="157"/>
      <x:c r="D16" s="157"/>
      <x:c r="E16" s="157"/>
      <x:c r="F16" s="157"/>
      <x:c r="G16" s="157"/>
      <x:c r="H16" s="157"/>
      <x:c r="I16" s="157"/>
      <x:c r="J16" s="157"/>
      <x:c r="K16" s="157"/>
      <x:c r="L16" s="157"/>
      <x:c r="M16" s="157"/>
      <x:c r="N16" s="157"/>
    </x:row>
    <x:row r="17">
      <x:c r="A17" s="177" t="str">
        <x:v>项目</x:v>
      </x:c>
      <x:c r="B17" s="177" t="str">
        <x:v>结论</x:v>
      </x:c>
      <x:c r="C17" s="177"/>
      <x:c r="D17" s="177"/>
      <x:c r="E17" s="177"/>
      <x:c r="F17" s="177"/>
      <x:c r="G17" s="177"/>
      <x:c r="H17" s="177"/>
      <x:c r="I17" s="177"/>
      <x:c r="J17" s="177"/>
      <x:c r="K17" s="177"/>
      <x:c r="L17" s="177"/>
      <x:c r="M17" s="177"/>
      <x:c r="N17" s="177"/>
    </x:row>
    <x:row r="18" ht="34" customHeight="1">
      <x:c r="A18" s="178" t="str">
        <x:v>Verifier 编码</x:v>
      </x:c>
      <x:c r="B18" s="178" t="str">
        <x:v>已固定 PYTHONUTF8=1、PYTHONIOENCODING=utf-8；现有 r2 replicate-01 最终输出复验为 10/10 passed。</x:v>
      </x:c>
      <x:c r="C18" s="178"/>
      <x:c r="D18" s="178"/>
      <x:c r="E18" s="178"/>
      <x:c r="F18" s="178"/>
      <x:c r="G18" s="178"/>
      <x:c r="H18" s="178"/>
      <x:c r="I18" s="178"/>
      <x:c r="J18" s="178"/>
      <x:c r="K18" s="178"/>
      <x:c r="L18" s="178"/>
      <x:c r="M18" s="178"/>
      <x:c r="N18" s="178"/>
    </x:row>
    <x:row r="19" ht="34" customHeight="1">
      <x:c r="A19" s="178" t="str">
        <x:v>VISTA 机制</x:v>
      </x:c>
      <x:c r="B19" s="178" t="str">
        <x:v>r3 观察到一次可靠的首次诊断后即时披露及下一轮模块访问，但没有 clean complete closure。</x:v>
      </x:c>
      <x:c r="C19" s="178"/>
      <x:c r="D19" s="178"/>
      <x:c r="E19" s="178"/>
      <x:c r="F19" s="178"/>
      <x:c r="G19" s="178"/>
      <x:c r="H19" s="178"/>
      <x:c r="I19" s="178"/>
      <x:c r="J19" s="178"/>
      <x:c r="K19" s="178"/>
      <x:c r="L19" s="178"/>
      <x:c r="M19" s="178"/>
      <x:c r="N19" s="178"/>
    </x:row>
    <x:row r="20" ht="34" customHeight="1">
      <x:c r="A20" s="178" t="str">
        <x:v>正式结论</x:v>
      </x:c>
      <x:c r="B20" s="178" t="str">
        <x:v>目前 travel-planning 的正式有效样本数仍为 0；必须在 provider 稳定后重新完成两次独立 replicate。</x:v>
      </x:c>
      <x:c r="C20" s="178"/>
      <x:c r="D20" s="178"/>
      <x:c r="E20" s="178"/>
      <x:c r="F20" s="178"/>
      <x:c r="G20" s="178"/>
      <x:c r="H20" s="178"/>
      <x:c r="I20" s="178"/>
      <x:c r="J20" s="178"/>
      <x:c r="K20" s="178"/>
      <x:c r="L20" s="178"/>
      <x:c r="M20" s="178"/>
      <x:c r="N20" s="178"/>
    </x:row>
    <x:row r="22" ht="26" customHeight="1">
      <x:c r="A22" s="168" t="str">
        <x:v>模型身份说明：CLI 请求参数固定为 openai/gpt-5.6-terra；本批 OpenCode JSON 事件未返回 modelID/providerID，因此表中不声称已从事件独立验证实际模型 ID。Docker、WSL、容器均未使用。</x:v>
      </x:c>
      <x:c r="B22" s="168"/>
      <x:c r="C22" s="168"/>
      <x:c r="D22" s="168"/>
      <x:c r="E22" s="168"/>
      <x:c r="F22" s="168"/>
      <x:c r="G22" s="168"/>
      <x:c r="H22" s="168"/>
      <x:c r="I22" s="168"/>
      <x:c r="J22" s="168"/>
      <x:c r="K22" s="168"/>
      <x:c r="L22" s="168"/>
      <x:c r="M22" s="168"/>
      <x:c r="N22" s="168"/>
    </x:row>
    <x:row r="23" ht="26" customHeight="1">
      <x:c r="A23" s="168"/>
      <x:c r="B23" s="168"/>
      <x:c r="C23" s="168"/>
      <x:c r="D23" s="168"/>
      <x:c r="E23" s="168"/>
      <x:c r="F23" s="168"/>
      <x:c r="G23" s="168"/>
      <x:c r="H23" s="168"/>
      <x:c r="I23" s="168"/>
      <x:c r="J23" s="168"/>
      <x:c r="K23" s="168"/>
      <x:c r="L23" s="168"/>
      <x:c r="M23" s="168"/>
      <x:c r="N23" s="168"/>
    </x:row>
  </x:sheetData>
  <x:mergeCells>
    <x:mergeCell ref="A1:N1"/>
    <x:mergeCell ref="A2:N3"/>
    <x:mergeCell ref="A10:N10"/>
    <x:mergeCell ref="A16:N16"/>
    <x:mergeCell ref="B18:N18"/>
    <x:mergeCell ref="B19:N19"/>
    <x:mergeCell ref="B20:N20"/>
    <x:mergeCell ref="A22:N23"/>
  </x:mergeCells>
  <x:pageMargins left="0.7" right="0.7" top="0.75" bottom="0.75" header="0.3" footer="0.3"/>
</x:worksheet>
</file>