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48ce6b06ee44da" /></Relationships>
</file>

<file path=xl/workbook.xml><?xml version="1.0" encoding="utf-8"?>
<x:workbook xmlns:x="http://schemas.openxmlformats.org/spreadsheetml/2006/main">
  <x:sheets>
    <x:sheet xmlns:r="http://schemas.openxmlformats.org/officeDocument/2006/relationships" name="实验总览" sheetId="1" r:id="R143182f3d13148f2"/>
    <x:sheet xmlns:r="http://schemas.openxmlformats.org/officeDocument/2006/relationships" name="9组明细" sheetId="2" r:id="R0daa02b065c74c42"/>
    <x:sheet xmlns:r="http://schemas.openxmlformats.org/officeDocument/2006/relationships" name="Token与成本" sheetId="3" r:id="Rf0b78ebca0b14a4a"/>
    <x:sheet xmlns:r="http://schemas.openxmlformats.org/officeDocument/2006/relationships" name="方法与流程" sheetId="4" r:id="R6e36c85353f941f3"/>
    <x:sheet xmlns:r="http://schemas.openxmlformats.org/officeDocument/2006/relationships" name="条件提示词" sheetId="5" r:id="R1f435f890ca5432e"/>
    <x:sheet xmlns:r="http://schemas.openxmlformats.org/officeDocument/2006/relationships" name="PD披露证据" sheetId="6" r:id="R7e53dea28f6140c4"/>
    <x:sheet xmlns:r="http://schemas.openxmlformats.org/officeDocument/2006/relationships" name="字段映射" sheetId="7" r:id="R6870a4c427df45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0"/>
    <x:numFmt numFmtId="203" formatCode="0.0%"/>
  </x:numFmts>
  <x:fonts count="8">
    <x:font>
      <x:sz val="11"/>
      <x:name val="Carlito"/>
    </x:font>
    <x:font>
      <x:b/>
      <x:sz val="18"/>
      <x:color rgb="FFFFFFFF"/>
      <x:name val="Carlito"/>
    </x:font>
    <x:font>
      <x:sz val="10"/>
      <x:color rgb="FF25364A"/>
      <x:name val="Carlito"/>
    </x:font>
    <x:font>
      <x:b/>
      <x:sz val="10"/>
      <x:color rgb="FFFFFFFF"/>
      <x:name val="Carlito"/>
    </x:font>
    <x:font>
      <x:b/>
      <x:sz val="10"/>
      <x:color rgb="FF25364A"/>
      <x:name val="Carlito"/>
    </x:font>
    <x:font>
      <x:sz val="11"/>
      <x:color rgb="FF17365D"/>
      <x:name val="Carlito"/>
    </x:font>
    <x:font>
      <x:b/>
      <x:sz val="11"/>
      <x:color rgb="FF17365D"/>
      <x:name val="Carlito"/>
    </x:font>
    <x:font>
      <x:b/>
      <x:sz val="10"/>
      <x:color rgb="FF17365D"/>
      <x:name val="Carlito"/>
    </x:font>
  </x:fonts>
  <x:fills count="8">
    <x:fill>
      <x:patternFill patternType="none"/>
    </x:fill>
    <x:fill>
      <x:patternFill patternType="gray125"/>
    </x:fill>
    <x:fill>
      <x:patternFill patternType="solid">
        <x:fgColor rgb="FF1F3F66"/>
      </x:patternFill>
    </x:fill>
    <x:fill>
      <x:patternFill patternType="solid">
        <x:fgColor rgb="FFF2F2F2"/>
      </x:patternFill>
    </x:fill>
    <x:fill>
      <x:patternFill patternType="solid">
        <x:fgColor rgb="FF17365D"/>
      </x:patternFill>
    </x:fill>
    <x:fill>
      <x:patternFill patternType="solid">
        <x:fgColor rgb="FFDCEAF7"/>
      </x:patternFill>
    </x:fill>
    <x:fill>
      <x:patternFill patternType="solid">
        <x:fgColor rgb="FFE2F0D9"/>
      </x:patternFill>
    </x:fill>
    <x:fill>
      <x:patternFill patternType="solid">
        <x:fgColor rgb="FFFCE4D6"/>
      </x:patternFill>
    </x:fill>
  </x:fills>
  <x:borders count="5">
    <x:border/>
    <x:border>
      <x:left style="thin">
        <x:color rgb="FFB8CCE4"/>
      </x:left>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top style="thin">
        <x:color rgb="FFB8CCE4"/>
      </x:top>
      <x:bottom style="thin">
        <x:color rgb="FFB8CCE4"/>
      </x:bottom>
    </x:border>
    <x:border>
      <x:right style="thin">
        <x:color rgb="FFB8CCE4"/>
      </x:right>
      <x:top style="thin">
        <x:color rgb="FFB8CCE4"/>
      </x:top>
      <x:bottom style="thin">
        <x:color rgb="FFB8CCE4"/>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1" fontId="2" fillId="0" borderId="1" xfId="0" applyNumberFormat="1" applyFont="1" applyFill="1" applyBorder="1" applyAlignment="1">
      <x:alignment vertical="top" wrapText="1"/>
    </x:xf>
    <x:xf numFmtId="202" fontId="2" fillId="0" borderId="1" xfId="0" applyNumberFormat="1" applyFont="1" applyFill="1" applyBorder="1" applyAlignment="1">
      <x:alignment vertical="top" wrapText="1"/>
    </x:xf>
    <x:xf numFmtId="0" fontId="4" fillId="3" borderId="0" xfId="0" applyNumberFormat="1" applyFont="1" applyFill="1" applyBorder="1"/>
    <x:xf numFmtId="0" fontId="4" fillId="3"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6" fillId="5" borderId="0"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2" fillId="3" borderId="1" xfId="0" applyNumberFormat="1" applyFont="1" applyFill="1" applyBorder="1" applyAlignment="1">
      <x:alignment vertical="top" wrapText="1"/>
    </x:xf>
    <x:xf numFmtId="0" fontId="7" fillId="3" borderId="1" xfId="0" applyNumberFormat="1" applyFont="1" applyFill="1" applyBorder="1" applyAlignment="1">
      <x:alignment vertical="top" wrapText="1"/>
    </x:xf>
    <x:xf numFmtId="203" fontId="2" fillId="0" borderId="1" xfId="0" applyNumberFormat="1" applyFont="1" applyFill="1" applyBorder="1" applyAlignment="1">
      <x:alignment vertical="top" wrapText="1"/>
    </x:xf>
    <x:xf numFmtId="203" fontId="7" fillId="3" borderId="1" xfId="0" applyNumberFormat="1" applyFont="1" applyFill="1" applyBorder="1" applyAlignment="1">
      <x:alignment vertical="top" wrapText="1"/>
    </x:xf>
    <x:xf numFmtId="201" fontId="7" fillId="3" borderId="1" xfId="0" applyNumberFormat="1" applyFont="1" applyFill="1" applyBorder="1" applyAlignment="1">
      <x:alignment vertical="top" wrapText="1"/>
    </x:xf>
    <x:xf numFmtId="202" fontId="7" fillId="3" borderId="1" xfId="0" applyNumberFormat="1" applyFont="1" applyFill="1" applyBorder="1" applyAlignment="1">
      <x:alignment vertical="top" wrapText="1"/>
    </x:xf>
    <x:xf numFmtId="200" fontId="7" fillId="3" borderId="1" xfId="0" applyNumberFormat="1" applyFont="1" applyFill="1" applyBorder="1" applyAlignment="1">
      <x:alignment vertical="top" wrapText="1"/>
    </x:xf>
    <x:xf numFmtId="0" fontId="2" fillId="6" borderId="1" xfId="0" applyNumberFormat="1" applyFont="1" applyFill="1" applyBorder="1"/>
    <x:xf numFmtId="0" fontId="4" fillId="6" borderId="1"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wrapText="1"/>
    </x:xf>
    <x:xf numFmtId="0" fontId="2" fillId="7" borderId="1" xfId="0" applyNumberFormat="1" applyFont="1" applyFill="1" applyBorder="1" applyAlignment="1">
      <x:alignment vertical="center" wrapText="1"/>
    </x:xf>
    <x:xf numFmtId="0" fontId="4"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18d14073ad4c30" /><Relationship Type="http://schemas.openxmlformats.org/officeDocument/2006/relationships/theme" Target="/xl/theme/theme1.xml" Id="R9820b43d6fd64bd8" /><Relationship Type="http://schemas.openxmlformats.org/officeDocument/2006/relationships/sharedStrings" Target="/xl/sharedStrings.xml" Id="R2fcb7b20154640ce" /><Relationship Type="http://schemas.openxmlformats.org/officeDocument/2006/relationships/worksheet" Target="/xl/worksheets/sheet1.xml" Id="R143182f3d13148f2" /><Relationship Type="http://schemas.openxmlformats.org/officeDocument/2006/relationships/worksheet" Target="/xl/worksheets/sheet2.xml" Id="R0daa02b065c74c42" /><Relationship Type="http://schemas.openxmlformats.org/officeDocument/2006/relationships/worksheet" Target="/xl/worksheets/sheet3.xml" Id="Rf0b78ebca0b14a4a" /><Relationship Type="http://schemas.openxmlformats.org/officeDocument/2006/relationships/worksheet" Target="/xl/worksheets/sheet4.xml" Id="R6e36c85353f941f3" /><Relationship Type="http://schemas.openxmlformats.org/officeDocument/2006/relationships/worksheet" Target="/xl/worksheets/sheet5.xml" Id="R1f435f890ca5432e" /><Relationship Type="http://schemas.openxmlformats.org/officeDocument/2006/relationships/worksheet" Target="/xl/worksheets/sheet6.xml" Id="R7e53dea28f6140c4" /><Relationship Type="http://schemas.openxmlformats.org/officeDocument/2006/relationships/worksheet" Target="/xl/worksheets/sheet7.xml" Id="R6870a4c427df45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8" hidden="0" customWidth="1"/>
    <x:col min="3" max="3" width="15" hidden="0" customWidth="1"/>
    <x:col min="4" max="4" width="16" hidden="0" customWidth="1"/>
    <x:col min="5" max="5" width="15" hidden="0" customWidth="1"/>
    <x:col min="6" max="6" width="15" hidden="0" customWidth="1"/>
    <x:col min="7" max="7" width="15" hidden="0" customWidth="1"/>
    <x:col min="8" max="8" width="15" hidden="0" customWidth="1"/>
    <x:col min="9" max="9" width="14" hidden="0" customWidth="1"/>
    <x:col min="10" max="10" width="14" hidden="0" customWidth="1"/>
  </x:cols>
  <x:sheetData>
    <x:row r="1" ht="30" customHeight="1">
      <x:c r="A1" s="4" t="str">
        <x:v>task3 本机 OpenCode 三条件对照实验｜中文审计总览</x:v>
      </x:c>
      <x:c r="B1" s="4" t="str">
        <x:v>task3 本机 OpenCode 三条件对照实验｜中文审计总览</x:v>
      </x:c>
      <x:c r="C1" s="4" t="str">
        <x:v>task3 本机 OpenCode 三条件对照实验｜中文审计总览</x:v>
      </x:c>
      <x:c r="D1" s="4" t="str">
        <x:v>task3 本机 OpenCode 三条件对照实验｜中文审计总览</x:v>
      </x:c>
      <x:c r="E1" s="4" t="str">
        <x:v>task3 本机 OpenCode 三条件对照实验｜中文审计总览</x:v>
      </x:c>
      <x:c r="F1" s="4" t="str">
        <x:v>task3 本机 OpenCode 三条件对照实验｜中文审计总览</x:v>
      </x:c>
      <x:c r="G1" s="4" t="str">
        <x:v>task3 本机 OpenCode 三条件对照实验｜中文审计总览</x:v>
      </x:c>
      <x:c r="H1" s="4" t="str">
        <x:v>task3 本机 OpenCode 三条件对照实验｜中文审计总览</x:v>
      </x:c>
      <x:c r="I1" s="4" t="str">
        <x:v>task3 本机 OpenCode 三条件对照实验｜中文审计总览</x:v>
      </x:c>
      <x:c r="J1" s="4" t="str">
        <x:v>task3 本机 OpenCode 三条件对照实验｜中文审计总览</x:v>
      </x:c>
    </x:row>
    <x:row r="3">
      <x:c r="A3" s="22" t="str">
        <x:v>任务身份</x:v>
      </x:c>
      <x:c r="B3" s="16" t="str">
        <x:v>task-003 / data-to-d3</x:v>
      </x:c>
      <x:c r="D3" s="27" t="str">
        <x:v>正式结果：9 个逻辑结果 JSON、9 个唯一 session；9/9 纳入正式比较，当前全部纳入正式比较。正式纳入组最终 Verifier 全部通过。PD-VISTA：3 组均使用根路由说明；其中 1 组完成公开失败→单模块披露→下一轮实际读取→通过的干净闭环。历史隔离尝试共 9 条，均保留在 posthoc-audit.json。</x:v>
      </x:c>
      <x:c r="E3" s="27"/>
      <x:c r="F3" s="27"/>
      <x:c r="G3" s="27"/>
      <x:c r="H3" s="27"/>
      <x:c r="I3" s="27"/>
      <x:c r="J3" s="27"/>
    </x:row>
    <x:row r="4">
      <x:c r="A4" s="22" t="str">
        <x:v>正式批次</x:v>
      </x:c>
      <x:c r="B4" s="16" t="str">
        <x:v>formal-task003-local-3x3-minimaxm3-20260823-02</x:v>
      </x:c>
      <x:c r="D4" s="27"/>
      <x:c r="E4" s="27"/>
      <x:c r="F4" s="27"/>
      <x:c r="G4" s="27"/>
      <x:c r="H4" s="27"/>
      <x:c r="I4" s="27"/>
      <x:c r="J4" s="27"/>
    </x:row>
    <x:row r="5">
      <x:c r="A5" s="22" t="str">
        <x:v>请求模型</x:v>
      </x:c>
      <x:c r="B5" s="16" t="str">
        <x:v>minimax-cn/MiniMax-M3</x:v>
      </x:c>
      <x:c r="D5" s="27"/>
      <x:c r="E5" s="27"/>
      <x:c r="F5" s="27"/>
      <x:c r="G5" s="27"/>
      <x:c r="H5" s="27"/>
      <x:c r="I5" s="27"/>
      <x:c r="J5" s="27"/>
    </x:row>
    <x:row r="6">
      <x:c r="A6" s="22" t="str">
        <x:v>执行路线</x:v>
      </x:c>
      <x:c r="B6" s="16" t="str">
        <x:v>本机 OpenCode；Docker=false；SkillBench route=false</x:v>
      </x:c>
      <x:c r="D6" s="27"/>
      <x:c r="E6" s="27"/>
      <x:c r="F6" s="27"/>
      <x:c r="G6" s="27"/>
      <x:c r="H6" s="27"/>
      <x:c r="I6" s="27"/>
      <x:c r="J6" s="27"/>
    </x:row>
    <x:row r="7">
      <x:c r="A7" s="22" t="str">
        <x:v>矩阵</x:v>
      </x:c>
      <x:c r="B7" s="16" t="str">
        <x:v>No-Skill / Native / PD-VISTA × 3</x:v>
      </x:c>
      <x:c r="D7" s="27"/>
      <x:c r="E7" s="27"/>
      <x:c r="F7" s="27"/>
      <x:c r="G7" s="27"/>
      <x:c r="H7" s="27"/>
      <x:c r="I7" s="27"/>
      <x:c r="J7" s="27"/>
    </x:row>
    <x:row r="8">
      <x:c r="A8" s="22" t="str">
        <x:v>交错顺序</x:v>
      </x:c>
      <x:c r="B8" s="16" t="str">
        <x:v>1N → 1Native → 1PD → 2Native → 2PD → 2N → 3PD → 3N → 3Native</x:v>
      </x:c>
      <x:c r="D8" s="27"/>
      <x:c r="E8" s="27"/>
      <x:c r="F8" s="27"/>
      <x:c r="G8" s="27"/>
      <x:c r="H8" s="27"/>
      <x:c r="I8" s="27"/>
      <x:c r="J8" s="27"/>
    </x:row>
    <x:row r="10" ht="22" customHeight="1">
      <x:c r="A10" s="29" t="str">
        <x:v>条件比较（公式由 9组明细 汇总）</x:v>
      </x:c>
      <x:c r="B10" s="30" t="str">
        <x:v>条件比较（公式由 9组明细 汇总）</x:v>
      </x:c>
      <x:c r="C10" s="30" t="str">
        <x:v>条件比较（公式由 9组明细 汇总）</x:v>
      </x:c>
      <x:c r="D10" s="30" t="str">
        <x:v>条件比较（公式由 9组明细 汇总）</x:v>
      </x:c>
      <x:c r="E10" s="30" t="str">
        <x:v>条件比较（公式由 9组明细 汇总）</x:v>
      </x:c>
      <x:c r="F10" s="30" t="str">
        <x:v>条件比较（公式由 9组明细 汇总）</x:v>
      </x:c>
      <x:c r="G10" s="30" t="str">
        <x:v>条件比较（公式由 9组明细 汇总）</x:v>
      </x:c>
      <x:c r="H10" s="30" t="str">
        <x:v>条件比较（公式由 9组明细 汇总）</x:v>
      </x:c>
      <x:c r="I10" s="30" t="str">
        <x:v>条件比较（公式由 9组明细 汇总）</x:v>
      </x:c>
      <x:c r="J10" s="31" t="str">
        <x:v>条件比较（公式由 9组明细 汇总）</x:v>
      </x:c>
    </x:row>
    <x:row r="11" ht="30" customHeight="1">
      <x:c r="A11" s="13" t="str">
        <x:v>条件</x:v>
      </x:c>
      <x:c r="B11" s="13" t="str">
        <x:v>结果文件数</x:v>
      </x:c>
      <x:c r="C11" s="13" t="str">
        <x:v>纳入正式统计</x:v>
      </x:c>
      <x:c r="D11" s="13" t="str">
        <x:v>Verifier通过</x:v>
      </x:c>
      <x:c r="E11" s="13" t="str">
        <x:v>通过率（纳入）</x:v>
      </x:c>
      <x:c r="F11" s="13" t="str">
        <x:v>输入Token</x:v>
      </x:c>
      <x:c r="G11" s="13" t="str">
        <x:v>输出Token</x:v>
      </x:c>
      <x:c r="H11" s="13" t="str">
        <x:v>cache-read</x:v>
      </x:c>
      <x:c r="I11" s="13" t="str">
        <x:v>记录费用</x:v>
      </x:c>
      <x:c r="J11" s="13" t="str">
        <x:v>PD干净闭环</x:v>
      </x:c>
    </x:row>
    <x:row r="12">
      <x:c r="A12" s="17" t="str">
        <x:v>No-Skill</x:v>
      </x:c>
      <x:c r="B12" s="17" t="n">
        <x:f>COUNTIF('9组明细'!$B$5:$B$13,A12)</x:f>
        <x:v>3</x:v>
      </x:c>
      <x:c r="C12" s="17" t="n">
        <x:f>SUMIF('9组明细'!$B$5:$B$13,A12,'9组明细'!$E$5:$E$13)</x:f>
        <x:v>3</x:v>
      </x:c>
      <x:c r="D12" s="17" t="n">
        <x:f>SUMIF('9组明细'!$B$5:$B$13,A12,'9组明细'!$F$5:$F$13)</x:f>
        <x:v>3</x:v>
      </x:c>
      <x:c r="E12" s="34" t="n">
        <x:f>IF(C12=0,0,D12/C12)</x:f>
        <x:v>1</x:v>
      </x:c>
      <x:c r="F12" s="19" t="n">
        <x:f>SUMIF('9组明细'!$B$5:$B$13,A12,'9组明细'!$J$5:$J$13)</x:f>
        <x:v>137558</x:v>
      </x:c>
      <x:c r="G12" s="19" t="n">
        <x:f>SUMIF('9组明细'!$B$5:$B$13,A12,'9组明细'!$K$5:$K$13)</x:f>
        <x:v>51881</x:v>
      </x:c>
      <x:c r="H12" s="19" t="n">
        <x:f>SUMIF('9组明细'!$B$5:$B$13,A12,'9组明细'!$L$5:$L$13)</x:f>
        <x:v>3523210</x:v>
      </x:c>
      <x:c r="I12" s="20" t="n">
        <x:f>SUMIF('9组明细'!$B$5:$B$13,A12,'9组明细'!$N$5:$N$13)</x:f>
        <x:v>0.3149172</x:v>
      </x:c>
      <x:c r="J12" s="18" t="n">
        <x:f>SUMIF('9组明细'!$B$5:$B$13,A12,'9组明细'!$W$5:$W$13)</x:f>
        <x:v>0</x:v>
      </x:c>
    </x:row>
    <x:row r="13">
      <x:c r="A13" s="17" t="str">
        <x:v>Native</x:v>
      </x:c>
      <x:c r="B13" s="17" t="n">
        <x:f>COUNTIF('9组明细'!$B$5:$B$13,A13)</x:f>
        <x:v>3</x:v>
      </x:c>
      <x:c r="C13" s="17" t="n">
        <x:f>SUMIF('9组明细'!$B$5:$B$13,A13,'9组明细'!$E$5:$E$13)</x:f>
        <x:v>3</x:v>
      </x:c>
      <x:c r="D13" s="17" t="n">
        <x:f>SUMIF('9组明细'!$B$5:$B$13,A13,'9组明细'!$F$5:$F$13)</x:f>
        <x:v>3</x:v>
      </x:c>
      <x:c r="E13" s="34" t="n">
        <x:f>IF(C13=0,0,D13/C13)</x:f>
        <x:v>1</x:v>
      </x:c>
      <x:c r="F13" s="19" t="n">
        <x:f>SUMIF('9组明细'!$B$5:$B$13,A13,'9组明细'!$J$5:$J$13)</x:f>
        <x:v>148071</x:v>
      </x:c>
      <x:c r="G13" s="19" t="n">
        <x:f>SUMIF('9组明细'!$B$5:$B$13,A13,'9组明细'!$K$5:$K$13)</x:f>
        <x:v>39366</x:v>
      </x:c>
      <x:c r="H13" s="19" t="n">
        <x:f>SUMIF('9组明细'!$B$5:$B$13,A13,'9组明细'!$L$5:$L$13)</x:f>
        <x:v>3091138</x:v>
      </x:c>
      <x:c r="I13" s="20" t="n">
        <x:f>SUMIF('9组明细'!$B$5:$B$13,A13,'9组明细'!$N$5:$N$13)</x:f>
        <x:v>0.27712877999999996</x:v>
      </x:c>
      <x:c r="J13" s="18" t="n">
        <x:f>SUMIF('9组明细'!$B$5:$B$13,A13,'9组明细'!$W$5:$W$13)</x:f>
        <x:v>0</x:v>
      </x:c>
    </x:row>
    <x:row r="14">
      <x:c r="A14" s="17" t="str">
        <x:v>PD-VISTA</x:v>
      </x:c>
      <x:c r="B14" s="17" t="n">
        <x:f>COUNTIF('9组明细'!$B$5:$B$13,A14)</x:f>
        <x:v>3</x:v>
      </x:c>
      <x:c r="C14" s="17" t="n">
        <x:f>SUMIF('9组明细'!$B$5:$B$13,A14,'9组明细'!$E$5:$E$13)</x:f>
        <x:v>3</x:v>
      </x:c>
      <x:c r="D14" s="17" t="n">
        <x:f>SUMIF('9组明细'!$B$5:$B$13,A14,'9组明细'!$F$5:$F$13)</x:f>
        <x:v>3</x:v>
      </x:c>
      <x:c r="E14" s="34" t="n">
        <x:f>IF(C14=0,0,D14/C14)</x:f>
        <x:v>1</x:v>
      </x:c>
      <x:c r="F14" s="19" t="n">
        <x:f>SUMIF('9组明细'!$B$5:$B$13,A14,'9组明细'!$J$5:$J$13)</x:f>
        <x:v>173981</x:v>
      </x:c>
      <x:c r="G14" s="19" t="n">
        <x:f>SUMIF('9组明细'!$B$5:$B$13,A14,'9组明细'!$K$5:$K$13)</x:f>
        <x:v>44970</x:v>
      </x:c>
      <x:c r="H14" s="19" t="n">
        <x:f>SUMIF('9组明细'!$B$5:$B$13,A14,'9组明细'!$L$5:$L$13)</x:f>
        <x:v>3978754</x:v>
      </x:c>
      <x:c r="I14" s="20" t="n">
        <x:f>SUMIF('9组明细'!$B$5:$B$13,A14,'9组明细'!$N$5:$N$13)</x:f>
        <x:v>0.34488354</x:v>
      </x:c>
      <x:c r="J14" s="18" t="n">
        <x:f>SUMIF('9组明细'!$B$5:$B$13,A14,'9组明细'!$W$5:$W$13)</x:f>
        <x:v>1</x:v>
      </x:c>
    </x:row>
    <x:row r="15">
      <x:c r="A15" s="33" t="str">
        <x:v>合计</x:v>
      </x:c>
      <x:c r="B15" s="33" t="n">
        <x:f>SUM(B12:B14)</x:f>
        <x:v>9</x:v>
      </x:c>
      <x:c r="C15" s="33" t="n">
        <x:f>SUM(C12:C14)</x:f>
        <x:v>9</x:v>
      </x:c>
      <x:c r="D15" s="33" t="n">
        <x:f>SUM(D12:D14)</x:f>
        <x:v>9</x:v>
      </x:c>
      <x:c r="E15" s="35" t="n">
        <x:f>IF(C15=0,0,D15/C15)</x:f>
        <x:v>1</x:v>
      </x:c>
      <x:c r="F15" s="36" t="n">
        <x:f>SUM(F12:F14)</x:f>
        <x:v>459610</x:v>
      </x:c>
      <x:c r="G15" s="36" t="n">
        <x:f>SUM(G12:G14)</x:f>
        <x:v>136217</x:v>
      </x:c>
      <x:c r="H15" s="36" t="n">
        <x:f>SUM(H12:H14)</x:f>
        <x:v>10593102</x:v>
      </x:c>
      <x:c r="I15" s="37" t="n">
        <x:f>SUM(I12:I14)</x:f>
        <x:v>0.93692952</x:v>
      </x:c>
      <x:c r="J15" s="38" t="n">
        <x:f>SUM(J12:J14)</x:f>
        <x:v>1</x:v>
      </x:c>
    </x:row>
    <x:row r="18" ht="22" customHeight="1">
      <x:c r="A18" s="29" t="str">
        <x:v>审计结论与排除项</x:v>
      </x:c>
      <x:c r="B18" s="30" t="str">
        <x:v>审计结论与排除项</x:v>
      </x:c>
      <x:c r="C18" s="30" t="str">
        <x:v>审计结论与排除项</x:v>
      </x:c>
      <x:c r="D18" s="30" t="str">
        <x:v>审计结论与排除项</x:v>
      </x:c>
      <x:c r="E18" s="30" t="str">
        <x:v>审计结论与排除项</x:v>
      </x:c>
      <x:c r="F18" s="30" t="str">
        <x:v>审计结论与排除项</x:v>
      </x:c>
      <x:c r="G18" s="30" t="str">
        <x:v>审计结论与排除项</x:v>
      </x:c>
      <x:c r="H18" s="30" t="str">
        <x:v>审计结论与排除项</x:v>
      </x:c>
      <x:c r="I18" s="30" t="str">
        <x:v>审计结论与排除项</x:v>
      </x:c>
      <x:c r="J18" s="31" t="str">
        <x:v>审计结论与排除项</x:v>
      </x:c>
    </x:row>
    <x:row r="19">
      <x:c r="A19" s="22" t="str">
        <x:v>9 个结果 JSON</x:v>
      </x:c>
      <x:c r="B19" s="15" t="n">
        <x:f>COUNTA('9组明细'!$A$5:$A$13)</x:f>
        <x:v>9</x:v>
      </x:c>
      <x:c r="D19" s="45" t="str">
        <x:v>排除说明：formal-task003-local-3x3-minimaxm3-20260823-00-readiness 为零模型 readiness；-01 为固定端口 8765 控制器诊断批次；-02-resume-readiness-check-01 为筛选续跑前置检查。历史受控制器误判/API 429 影响的 archived attempts 仍在 posthoc-audit.json 的 excluded_trial_attempts 中逐项保留，但不影响当前 9 个逻辑组的最终有效结果。</x:v>
      </x:c>
      <x:c r="E19" s="45"/>
      <x:c r="F19" s="45"/>
      <x:c r="G19" s="45"/>
      <x:c r="H19" s="45"/>
      <x:c r="I19" s="45"/>
      <x:c r="J19" s="45"/>
    </x:row>
    <x:row r="20">
      <x:c r="A20" s="22" t="str">
        <x:v>9 个唯一 session</x:v>
      </x:c>
      <x:c r="B20" s="15" t="n">
        <x:f>COUNTA('9组明细'!$Q$5:$Q$13)</x:f>
        <x:v>9</x:v>
      </x:c>
      <x:c r="D20" s="45"/>
      <x:c r="E20" s="45"/>
      <x:c r="F20" s="45"/>
      <x:c r="G20" s="45"/>
      <x:c r="H20" s="45"/>
      <x:c r="I20" s="45"/>
      <x:c r="J20" s="45"/>
    </x:row>
    <x:row r="21">
      <x:c r="A21" s="22" t="str">
        <x:v>最终 Verifier 全部通过</x:v>
      </x:c>
      <x:c r="B21" s="40" t="n">
        <x:f>SUM('9组明细'!$F$5:$F$13)</x:f>
        <x:v>9</x:v>
      </x:c>
      <x:c r="D21" s="45"/>
      <x:c r="E21" s="45"/>
      <x:c r="F21" s="45"/>
      <x:c r="G21" s="45"/>
      <x:c r="H21" s="45"/>
      <x:c r="I21" s="45"/>
      <x:c r="J21" s="45"/>
    </x:row>
    <x:row r="22">
      <x:c r="A22" s="22" t="str">
        <x:v>正式纳入组数</x:v>
      </x:c>
      <x:c r="B22" s="15" t="n">
        <x:f>SUM('9组明细'!$E$5:$E$13)</x:f>
        <x:v>9</x:v>
      </x:c>
      <x:c r="D22" s="45"/>
      <x:c r="E22" s="45"/>
      <x:c r="F22" s="45"/>
      <x:c r="G22" s="45"/>
      <x:c r="H22" s="45"/>
      <x:c r="I22" s="45"/>
      <x:c r="J22" s="45"/>
    </x:row>
    <x:row r="23">
      <x:c r="A23" s="22" t="str">
        <x:v>排除的正式逻辑组</x:v>
      </x:c>
      <x:c r="B23" s="15" t="n">
        <x:f>B19-B22</x:f>
        <x:v>0</x:v>
      </x:c>
      <x:c r="D23" s="45"/>
      <x:c r="E23" s="45"/>
      <x:c r="F23" s="45"/>
      <x:c r="G23" s="45"/>
      <x:c r="H23" s="45"/>
      <x:c r="I23" s="45"/>
      <x:c r="J23" s="45"/>
    </x:row>
    <x:row r="24">
      <x:c r="A24" s="22" t="str">
        <x:v>诊断批次数</x:v>
      </x:c>
      <x:c r="B24" s="15" t="n">
        <x:f>3</x:f>
        <x:v>3</x:v>
      </x:c>
      <x:c r="D24" s="45"/>
      <x:c r="E24" s="45"/>
      <x:c r="F24" s="45"/>
      <x:c r="G24" s="45"/>
      <x:c r="H24" s="45"/>
      <x:c r="I24" s="45"/>
      <x:c r="J24" s="45"/>
    </x:row>
    <x:row r="25">
      <x:c r="A25" s="22" t="str">
        <x:v>公式错误扫描</x:v>
      </x:c>
      <x:c r="B25" s="15" t="str">
        <x:v>0</x:v>
      </x:c>
      <x:c r="D25" s="45"/>
      <x:c r="E25" s="45"/>
      <x:c r="F25" s="45"/>
      <x:c r="G25" s="45"/>
      <x:c r="H25" s="45"/>
      <x:c r="I25" s="45"/>
      <x:c r="J25" s="45"/>
    </x:row>
  </x:sheetData>
  <x:mergeCells>
    <x:mergeCell ref="A1:J1"/>
    <x:mergeCell ref="D3:J8"/>
    <x:mergeCell ref="A10:J10"/>
    <x:mergeCell ref="A18:J18"/>
    <x:mergeCell ref="D19:J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8" hidden="0" customWidth="1"/>
    <x:col min="4" max="4" width="22" hidden="0" customWidth="1"/>
    <x:col min="5" max="5" width="10" hidden="0" customWidth="1"/>
    <x:col min="6" max="6" width="12" hidden="0" customWidth="1"/>
    <x:col min="7" max="7" width="8" hidden="0" customWidth="1"/>
    <x:col min="8" max="8" width="10" hidden="0" customWidth="1"/>
    <x:col min="9" max="9" width="10" hidden="0" customWidth="1"/>
    <x:col min="10" max="10" width="13" hidden="0" customWidth="1"/>
    <x:col min="11" max="11" width="13" hidden="0" customWidth="1"/>
    <x:col min="12" max="12" width="15" hidden="0" customWidth="1"/>
    <x:col min="13" max="13" width="15" hidden="0" customWidth="1"/>
    <x:col min="14" max="14" width="15" hidden="0" customWidth="1"/>
    <x:col min="15" max="15" width="15" hidden="0" customWidth="1"/>
    <x:col min="16" max="16" width="16" hidden="0" customWidth="1"/>
    <x:col min="17" max="17" width="27" hidden="0" customWidth="1"/>
    <x:col min="18" max="18" width="11" hidden="0" customWidth="1"/>
    <x:col min="19" max="19" width="25" hidden="0" customWidth="1"/>
    <x:col min="20" max="20" width="11" hidden="0" customWidth="1"/>
    <x:col min="21" max="21" width="18" hidden="0" customWidth="1"/>
    <x:col min="22" max="22" width="12" hidden="0" customWidth="1"/>
    <x:col min="23" max="23" width="11" hidden="0" customWidth="1"/>
    <x:col min="24" max="24" width="52" hidden="0" customWidth="1"/>
  </x:cols>
  <x:sheetData>
    <x:row r="1" ht="30" customHeight="1">
      <x:c r="A1" s="4" t="str">
        <x:v>task3 本机 OpenCode 三条件对照实验｜9 组明细</x:v>
      </x:c>
      <x:c r="B1" s="4" t="str">
        <x:v>task3 本机 OpenCode 三条件对照实验｜9 组明细</x:v>
      </x:c>
      <x:c r="C1" s="4" t="str">
        <x:v>task3 本机 OpenCode 三条件对照实验｜9 组明细</x:v>
      </x:c>
      <x:c r="D1" s="4" t="str">
        <x:v>task3 本机 OpenCode 三条件对照实验｜9 组明细</x:v>
      </x:c>
      <x:c r="E1" s="4" t="str">
        <x:v>task3 本机 OpenCode 三条件对照实验｜9 组明细</x:v>
      </x:c>
      <x:c r="F1" s="4" t="str">
        <x:v>task3 本机 OpenCode 三条件对照实验｜9 组明细</x:v>
      </x:c>
      <x:c r="G1" s="4" t="str">
        <x:v>task3 本机 OpenCode 三条件对照实验｜9 组明细</x:v>
      </x:c>
      <x:c r="H1" s="4" t="str">
        <x:v>task3 本机 OpenCode 三条件对照实验｜9 组明细</x:v>
      </x:c>
      <x:c r="I1" s="4" t="str">
        <x:v>task3 本机 OpenCode 三条件对照实验｜9 组明细</x:v>
      </x:c>
      <x:c r="J1" s="4" t="str">
        <x:v>task3 本机 OpenCode 三条件对照实验｜9 组明细</x:v>
      </x:c>
      <x:c r="K1" s="4" t="str">
        <x:v>task3 本机 OpenCode 三条件对照实验｜9 组明细</x:v>
      </x:c>
      <x:c r="L1" s="4" t="str">
        <x:v>task3 本机 OpenCode 三条件对照实验｜9 组明细</x:v>
      </x:c>
      <x:c r="M1" s="4" t="str">
        <x:v>task3 本机 OpenCode 三条件对照实验｜9 组明细</x:v>
      </x:c>
      <x:c r="N1" s="4" t="str">
        <x:v>task3 本机 OpenCode 三条件对照实验｜9 组明细</x:v>
      </x:c>
      <x:c r="O1" s="4" t="str">
        <x:v>task3 本机 OpenCode 三条件对照实验｜9 组明细</x:v>
      </x:c>
      <x:c r="P1" s="4" t="str">
        <x:v>task3 本机 OpenCode 三条件对照实验｜9 组明细</x:v>
      </x:c>
      <x:c r="Q1" s="4" t="str">
        <x:v>task3 本机 OpenCode 三条件对照实验｜9 组明细</x:v>
      </x:c>
      <x:c r="R1" s="4" t="str">
        <x:v>task3 本机 OpenCode 三条件对照实验｜9 组明细</x:v>
      </x:c>
      <x:c r="S1" s="4" t="str">
        <x:v>task3 本机 OpenCode 三条件对照实验｜9 组明细</x:v>
      </x:c>
      <x:c r="T1" s="4" t="str">
        <x:v>task3 本机 OpenCode 三条件对照实验｜9 组明细</x:v>
      </x:c>
      <x:c r="U1" s="4" t="str">
        <x:v>task3 本机 OpenCode 三条件对照实验｜9 组明细</x:v>
      </x:c>
      <x:c r="V1" s="4" t="str">
        <x:v>task3 本机 OpenCode 三条件对照实验｜9 组明细</x:v>
      </x:c>
      <x:c r="W1" s="4" t="str">
        <x:v>task3 本机 OpenCode 三条件对照实验｜9 组明细</x:v>
      </x:c>
      <x:c r="X1" s="4" t="str">
        <x:v>task3 本机 OpenCode 三条件对照实验｜9 组明细</x:v>
      </x:c>
    </x:row>
    <x:row r="2">
      <x:c r="A2" s="7" t="str">
        <x:v>每行对应一个逻辑组；正式统计=1 表示纳入比较，=0 表示因 API/控制器基础设施异常隔离。总Token由输入+输出公式计算。</x:v>
      </x:c>
      <x:c r="B2" s="7"/>
      <x:c r="C2" s="7"/>
      <x:c r="D2" s="7"/>
      <x:c r="E2" s="7"/>
      <x:c r="F2" s="7"/>
      <x:c r="G2" s="7"/>
      <x:c r="H2" s="7"/>
      <x:c r="I2" s="7"/>
      <x:c r="J2" s="7"/>
      <x:c r="K2" s="7"/>
      <x:c r="L2" s="7"/>
      <x:c r="M2" s="7"/>
      <x:c r="N2" s="7"/>
      <x:c r="O2" s="7"/>
      <x:c r="P2" s="7"/>
      <x:c r="Q2" s="7"/>
      <x:c r="R2" s="7"/>
      <x:c r="S2" s="7"/>
      <x:c r="T2" s="7"/>
      <x:c r="U2" s="7"/>
      <x:c r="V2" s="7"/>
      <x:c r="W2" s="7"/>
    </x:row>
    <x:row r="4" ht="30" customHeight="1">
      <x:c r="A4" s="13" t="str">
        <x:v>组ID</x:v>
      </x:c>
      <x:c r="B4" s="13" t="str">
        <x:v>条件</x:v>
      </x:c>
      <x:c r="C4" s="13" t="str">
        <x:v>重复</x:v>
      </x:c>
      <x:c r="D4" s="13" t="str">
        <x:v>原始状态</x:v>
      </x:c>
      <x:c r="E4" s="13" t="str">
        <x:v>正式统计</x:v>
      </x:c>
      <x:c r="F4" s="13" t="str">
        <x:v>最终Verifier通过</x:v>
      </x:c>
      <x:c r="G4" s="13" t="str">
        <x:v>轮次</x:v>
      </x:c>
      <x:c r="H4" s="13" t="str">
        <x:v>请求数</x:v>
      </x:c>
      <x:c r="I4" s="13" t="str">
        <x:v>工具调用</x:v>
      </x:c>
      <x:c r="J4" s="13" t="str">
        <x:v>输入Token</x:v>
      </x:c>
      <x:c r="K4" s="13" t="str">
        <x:v>输出Token</x:v>
      </x:c>
      <x:c r="L4" s="13" t="str">
        <x:v>cache-read Token</x:v>
      </x:c>
      <x:c r="M4" s="13" t="str">
        <x:v>总Token（公式）</x:v>
      </x:c>
      <x:c r="N4" s="13" t="str">
        <x:v>OpenCode记录费用</x:v>
      </x:c>
      <x:c r="O4" s="13" t="str">
        <x:v>实际Provider</x:v>
      </x:c>
      <x:c r="P4" s="13" t="str">
        <x:v>实际Model</x:v>
      </x:c>
      <x:c r="Q4" s="13" t="str">
        <x:v>唯一Session</x:v>
      </x:c>
      <x:c r="R4" s="13" t="str">
        <x:v>输出文件数</x:v>
      </x:c>
      <x:c r="S4" s="13" t="str">
        <x:v>停止原因</x:v>
      </x:c>
      <x:c r="T4" s="13" t="str">
        <x:v>PD触发机会</x:v>
      </x:c>
      <x:c r="U4" s="13" t="str">
        <x:v>披露模块</x:v>
      </x:c>
      <x:c r="V4" s="13" t="str">
        <x:v>下轮实际读取</x:v>
      </x:c>
      <x:c r="W4" s="13" t="str">
        <x:v>干净闭环</x:v>
      </x:c>
      <x:c r="X4" s="13" t="str">
        <x:v>结果JSON</x:v>
      </x:c>
    </x:row>
    <x:row r="5">
      <x:c r="A5" s="17" t="str">
        <x:v>No-Skill-01</x:v>
      </x:c>
      <x:c r="B5" s="17" t="str">
        <x:v>No-Skill</x:v>
      </x:c>
      <x:c r="C5" s="17" t="n">
        <x:v>1</x:v>
      </x:c>
      <x:c r="D5" s="17" t="str">
        <x:v>通过</x:v>
      </x:c>
      <x:c r="E5" s="18" t="n">
        <x:v>1</x:v>
      </x:c>
      <x:c r="F5" s="18" t="n">
        <x:v>1</x:v>
      </x:c>
      <x:c r="G5" s="19" t="n">
        <x:v>2</x:v>
      </x:c>
      <x:c r="H5" s="19" t="n">
        <x:v>58</x:v>
      </x:c>
      <x:c r="I5" s="19" t="n">
        <x:v>56</x:v>
      </x:c>
      <x:c r="J5" s="19" t="n">
        <x:v>67708</x:v>
      </x:c>
      <x:c r="K5" s="19" t="n">
        <x:v>29917</x:v>
      </x:c>
      <x:c r="L5" s="19" t="n">
        <x:v>2104320</x:v>
      </x:c>
      <x:c r="M5" s="19" t="n">
        <x:f>J5+K5</x:f>
        <x:v>97625</x:v>
      </x:c>
      <x:c r="N5" s="20" t="n">
        <x:v>0.182472</x:v>
      </x:c>
      <x:c r="O5" s="17" t="str">
        <x:v>minimax-cn</x:v>
      </x:c>
      <x:c r="P5" s="17" t="str">
        <x:v>MiniMax-M3</x:v>
      </x:c>
      <x:c r="Q5" s="17" t="str">
        <x:v>ses_fd4054cb3fferWhgho8rG0O5SX</x:v>
      </x:c>
      <x:c r="R5" s="17" t="n">
        <x:v>55</x:v>
      </x:c>
      <x:c r="S5" s="17" t="str">
        <x:v>verifier_pass_after_model_timeout</x:v>
      </x:c>
      <x:c r="T5" s="18" t="n">
        <x:v>1</x:v>
      </x:c>
      <x:c r="U5" s="18" t="str">
        <x:v>—</x:v>
      </x:c>
      <x:c r="V5" s="18" t="n">
        <x:v>0</x:v>
      </x:c>
      <x:c r="W5" s="18" t="n">
        <x:v>0</x:v>
      </x:c>
      <x:c r="X5" s="17" t="str">
        <x:v>data/raw/formal-task003-local-3x3-minimaxm3-20260823-02/noskill/replicate-01/result.json</x:v>
      </x:c>
    </x:row>
    <x:row r="6">
      <x:c r="A6" s="17" t="str">
        <x:v>Native-01</x:v>
      </x:c>
      <x:c r="B6" s="17" t="str">
        <x:v>Native</x:v>
      </x:c>
      <x:c r="C6" s="17" t="n">
        <x:v>1</x:v>
      </x:c>
      <x:c r="D6" s="17" t="str">
        <x:v>通过</x:v>
      </x:c>
      <x:c r="E6" s="18" t="n">
        <x:v>1</x:v>
      </x:c>
      <x:c r="F6" s="18" t="n">
        <x:v>1</x:v>
      </x:c>
      <x:c r="G6" s="19" t="n">
        <x:v>1</x:v>
      </x:c>
      <x:c r="H6" s="19" t="n">
        <x:v>30</x:v>
      </x:c>
      <x:c r="I6" s="19" t="n">
        <x:v>29</x:v>
      </x:c>
      <x:c r="J6" s="19" t="n">
        <x:v>67641</x:v>
      </x:c>
      <x:c r="K6" s="19" t="n">
        <x:v>8779</x:v>
      </x:c>
      <x:c r="L6" s="19" t="n">
        <x:v>463744</x:v>
      </x:c>
      <x:c r="M6" s="19" t="n">
        <x:f>J6+K6</x:f>
        <x:v>76420</x:v>
      </x:c>
      <x:c r="N6" s="20" t="n">
        <x:v>0.05865174</x:v>
      </x:c>
      <x:c r="O6" s="17" t="str">
        <x:v>minimax-cn</x:v>
      </x:c>
      <x:c r="P6" s="17" t="str">
        <x:v>MiniMax-M3</x:v>
      </x:c>
      <x:c r="Q6" s="17" t="str">
        <x:v>ses_fd3f879c9ffeNRmVEozmAAu1C3</x:v>
      </x:c>
      <x:c r="R6" s="17" t="n">
        <x:v>55</x:v>
      </x:c>
      <x:c r="S6" s="17" t="str">
        <x:v>verifier_pass_after_model_timeout</x:v>
      </x:c>
      <x:c r="T6" s="18" t="n">
        <x:v>0</x:v>
      </x:c>
      <x:c r="U6" s="18" t="str">
        <x:v>—</x:v>
      </x:c>
      <x:c r="V6" s="18" t="n">
        <x:v>0</x:v>
      </x:c>
      <x:c r="W6" s="18" t="n">
        <x:v>0</x:v>
      </x:c>
      <x:c r="X6" s="17" t="str">
        <x:v>data/raw/formal-task003-local-3x3-minimaxm3-20260823-02/native/replicate-01/result.json</x:v>
      </x:c>
    </x:row>
    <x:row r="7">
      <x:c r="A7" s="17" t="str">
        <x:v>PD-VISTA-01</x:v>
      </x:c>
      <x:c r="B7" s="17" t="str">
        <x:v>PD-VISTA</x:v>
      </x:c>
      <x:c r="C7" s="17" t="n">
        <x:v>1</x:v>
      </x:c>
      <x:c r="D7" s="17" t="str">
        <x:v>通过（无反馈闭环）</x:v>
      </x:c>
      <x:c r="E7" s="18" t="n">
        <x:v>1</x:v>
      </x:c>
      <x:c r="F7" s="18" t="n">
        <x:v>1</x:v>
      </x:c>
      <x:c r="G7" s="19" t="n">
        <x:v>1</x:v>
      </x:c>
      <x:c r="H7" s="19" t="n">
        <x:v>52</x:v>
      </x:c>
      <x:c r="I7" s="19" t="n">
        <x:v>51</x:v>
      </x:c>
      <x:c r="J7" s="19" t="n">
        <x:v>90642</x:v>
      </x:c>
      <x:c r="K7" s="19" t="n">
        <x:v>14783</x:v>
      </x:c>
      <x:c r="L7" s="19" t="n">
        <x:v>1548659</x:v>
      </x:c>
      <x:c r="M7" s="19" t="n">
        <x:f>J7+K7</x:f>
        <x:v>105425</x:v>
      </x:c>
      <x:c r="N7" s="20" t="n">
        <x:v>0.13785174</x:v>
      </x:c>
      <x:c r="O7" s="17" t="str">
        <x:v>minimax-cn</x:v>
      </x:c>
      <x:c r="P7" s="17" t="str">
        <x:v>MiniMax-M3</x:v>
      </x:c>
      <x:c r="Q7" s="17" t="str">
        <x:v>ses_fd231a92effelg7oNC99PGNNWX</x:v>
      </x:c>
      <x:c r="R7" s="17" t="n">
        <x:v>55</x:v>
      </x:c>
      <x:c r="S7" s="17" t="str">
        <x:v>verifier_pass</x:v>
      </x:c>
      <x:c r="T7" s="18" t="n">
        <x:v>0</x:v>
      </x:c>
      <x:c r="U7" s="18" t="str">
        <x:v>—</x:v>
      </x:c>
      <x:c r="V7" s="18" t="n">
        <x:v>0</x:v>
      </x:c>
      <x:c r="W7" s="18" t="n">
        <x:v>0</x:v>
      </x:c>
      <x:c r="X7" s="17" t="str">
        <x:v>data/raw/formal-task003-local-3x3-minimaxm3-20260823-02/pd-vista/replicate-01/result.json</x:v>
      </x:c>
    </x:row>
    <x:row r="8">
      <x:c r="A8" s="17" t="str">
        <x:v>No-Skill-02</x:v>
      </x:c>
      <x:c r="B8" s="17" t="str">
        <x:v>No-Skill</x:v>
      </x:c>
      <x:c r="C8" s="17" t="n">
        <x:v>2</x:v>
      </x:c>
      <x:c r="D8" s="17" t="str">
        <x:v>通过</x:v>
      </x:c>
      <x:c r="E8" s="18" t="n">
        <x:v>1</x:v>
      </x:c>
      <x:c r="F8" s="18" t="n">
        <x:v>1</x:v>
      </x:c>
      <x:c r="G8" s="19" t="n">
        <x:v>1</x:v>
      </x:c>
      <x:c r="H8" s="19" t="n">
        <x:v>34</x:v>
      </x:c>
      <x:c r="I8" s="19" t="n">
        <x:v>34</x:v>
      </x:c>
      <x:c r="J8" s="19" t="n">
        <x:v>47405</x:v>
      </x:c>
      <x:c r="K8" s="19" t="n">
        <x:v>12798</x:v>
      </x:c>
      <x:c r="L8" s="19" t="n">
        <x:v>866327</x:v>
      </x:c>
      <x:c r="M8" s="19" t="n">
        <x:f>J8+K8</x:f>
        <x:v>60203</x:v>
      </x:c>
      <x:c r="N8" s="20" t="n">
        <x:v>0.08155872</x:v>
      </x:c>
      <x:c r="O8" s="17" t="str">
        <x:v>minimax-cn</x:v>
      </x:c>
      <x:c r="P8" s="17" t="str">
        <x:v>MiniMax-M3</x:v>
      </x:c>
      <x:c r="Q8" s="17" t="str">
        <x:v>ses_fd178f90affeUaDLzZPSzJe1Vw</x:v>
      </x:c>
      <x:c r="R8" s="17" t="n">
        <x:v>55</x:v>
      </x:c>
      <x:c r="S8" s="17" t="str">
        <x:v>verifier_pass_after_model_timeout</x:v>
      </x:c>
      <x:c r="T8" s="18" t="n">
        <x:v>0</x:v>
      </x:c>
      <x:c r="U8" s="18" t="str">
        <x:v>—</x:v>
      </x:c>
      <x:c r="V8" s="18" t="n">
        <x:v>0</x:v>
      </x:c>
      <x:c r="W8" s="18" t="n">
        <x:v>0</x:v>
      </x:c>
      <x:c r="X8" s="17" t="str">
        <x:v>data/raw/formal-task003-local-3x3-minimaxm3-20260823-02/noskill/replicate-02/result.json</x:v>
      </x:c>
    </x:row>
    <x:row r="9">
      <x:c r="A9" s="17" t="str">
        <x:v>Native-02</x:v>
      </x:c>
      <x:c r="B9" s="17" t="str">
        <x:v>Native</x:v>
      </x:c>
      <x:c r="C9" s="17" t="n">
        <x:v>2</x:v>
      </x:c>
      <x:c r="D9" s="17" t="str">
        <x:v>通过</x:v>
      </x:c>
      <x:c r="E9" s="18" t="n">
        <x:v>1</x:v>
      </x:c>
      <x:c r="F9" s="18" t="n">
        <x:v>1</x:v>
      </x:c>
      <x:c r="G9" s="19" t="n">
        <x:v>1</x:v>
      </x:c>
      <x:c r="H9" s="19" t="n">
        <x:v>35</x:v>
      </x:c>
      <x:c r="I9" s="19" t="n">
        <x:v>34</x:v>
      </x:c>
      <x:c r="J9" s="19" t="n">
        <x:v>27896</x:v>
      </x:c>
      <x:c r="K9" s="19" t="n">
        <x:v>11883</x:v>
      </x:c>
      <x:c r="L9" s="19" t="n">
        <x:v>601374</x:v>
      </x:c>
      <x:c r="M9" s="19" t="n">
        <x:f>J9+K9</x:f>
        <x:v>39779</x:v>
      </x:c>
      <x:c r="N9" s="20" t="n">
        <x:v>0.05871084</x:v>
      </x:c>
      <x:c r="O9" s="17" t="str">
        <x:v>minimax-cn</x:v>
      </x:c>
      <x:c r="P9" s="17" t="str">
        <x:v>MiniMax-M3</x:v>
      </x:c>
      <x:c r="Q9" s="17" t="str">
        <x:v>ses_fd22af639ffeB8WqRf2ccPZU7V</x:v>
      </x:c>
      <x:c r="R9" s="17" t="n">
        <x:v>55</x:v>
      </x:c>
      <x:c r="S9" s="17" t="str">
        <x:v>verifier_pass_after_model_timeout</x:v>
      </x:c>
      <x:c r="T9" s="18" t="n">
        <x:v>0</x:v>
      </x:c>
      <x:c r="U9" s="18" t="str">
        <x:v>—</x:v>
      </x:c>
      <x:c r="V9" s="18" t="n">
        <x:v>0</x:v>
      </x:c>
      <x:c r="W9" s="18" t="n">
        <x:v>0</x:v>
      </x:c>
      <x:c r="X9" s="17" t="str">
        <x:v>data/raw/formal-task003-local-3x3-minimaxm3-20260823-02/native/replicate-02/result.json</x:v>
      </x:c>
    </x:row>
    <x:row r="10">
      <x:c r="A10" s="17" t="str">
        <x:v>PD-VISTA-02</x:v>
      </x:c>
      <x:c r="B10" s="17" t="str">
        <x:v>PD-VISTA</x:v>
      </x:c>
      <x:c r="C10" s="17" t="n">
        <x:v>2</x:v>
      </x:c>
      <x:c r="D10" s="17" t="str">
        <x:v>通过（PD干净闭环）</x:v>
      </x:c>
      <x:c r="E10" s="18" t="n">
        <x:v>1</x:v>
      </x:c>
      <x:c r="F10" s="18" t="n">
        <x:v>1</x:v>
      </x:c>
      <x:c r="G10" s="19" t="n">
        <x:v>2</x:v>
      </x:c>
      <x:c r="H10" s="19" t="n">
        <x:v>64</x:v>
      </x:c>
      <x:c r="I10" s="19" t="n">
        <x:v>62</x:v>
      </x:c>
      <x:c r="J10" s="19" t="n">
        <x:v>47103</x:v>
      </x:c>
      <x:c r="K10" s="19" t="n">
        <x:v>20103</x:v>
      </x:c>
      <x:c r="L10" s="19" t="n">
        <x:v>1599119</x:v>
      </x:c>
      <x:c r="M10" s="19" t="n">
        <x:f>J10+K10</x:f>
        <x:v>67206</x:v>
      </x:c>
      <x:c r="N10" s="20" t="n">
        <x:v>0.13420164</x:v>
      </x:c>
      <x:c r="O10" s="17" t="str">
        <x:v>minimax-cn</x:v>
      </x:c>
      <x:c r="P10" s="17" t="str">
        <x:v>MiniMax-M3</x:v>
      </x:c>
      <x:c r="Q10" s="17" t="str">
        <x:v>ses_fd201585bffeDIlqyG8BoeLVYa</x:v>
      </x:c>
      <x:c r="R10" s="17" t="n">
        <x:v>55</x:v>
      </x:c>
      <x:c r="S10" s="17" t="str">
        <x:v>verifier_pass</x:v>
      </x:c>
      <x:c r="T10" s="18" t="n">
        <x:v>1</x:v>
      </x:c>
      <x:c r="U10" s="18" t="str">
        <x:v>d3-visualization</x:v>
      </x:c>
      <x:c r="V10" s="18" t="n">
        <x:v>1</x:v>
      </x:c>
      <x:c r="W10" s="18" t="n">
        <x:v>1</x:v>
      </x:c>
      <x:c r="X10" s="17" t="str">
        <x:v>data/raw/formal-task003-local-3x3-minimaxm3-20260823-02/pd-vista/replicate-02/result.json</x:v>
      </x:c>
    </x:row>
    <x:row r="11">
      <x:c r="A11" s="17" t="str">
        <x:v>No-Skill-03</x:v>
      </x:c>
      <x:c r="B11" s="17" t="str">
        <x:v>No-Skill</x:v>
      </x:c>
      <x:c r="C11" s="17" t="n">
        <x:v>3</x:v>
      </x:c>
      <x:c r="D11" s="17" t="str">
        <x:v>通过</x:v>
      </x:c>
      <x:c r="E11" s="18" t="n">
        <x:v>1</x:v>
      </x:c>
      <x:c r="F11" s="18" t="n">
        <x:v>1</x:v>
      </x:c>
      <x:c r="G11" s="19" t="n">
        <x:v>2</x:v>
      </x:c>
      <x:c r="H11" s="19" t="n">
        <x:v>36</x:v>
      </x:c>
      <x:c r="I11" s="19" t="n">
        <x:v>34</x:v>
      </x:c>
      <x:c r="J11" s="19" t="n">
        <x:v>22445</x:v>
      </x:c>
      <x:c r="K11" s="19" t="n">
        <x:v>9166</x:v>
      </x:c>
      <x:c r="L11" s="19" t="n">
        <x:v>552563</x:v>
      </x:c>
      <x:c r="M11" s="19" t="n">
        <x:f>J11+K11</x:f>
        <x:v>31611</x:v>
      </x:c>
      <x:c r="N11" s="20" t="n">
        <x:v>0.05088648</x:v>
      </x:c>
      <x:c r="O11" s="17" t="str">
        <x:v>minimax-cn</x:v>
      </x:c>
      <x:c r="P11" s="17" t="str">
        <x:v>MiniMax-M3</x:v>
      </x:c>
      <x:c r="Q11" s="17" t="str">
        <x:v>ses_fd172254cffed4rWzXCeZIGovi</x:v>
      </x:c>
      <x:c r="R11" s="17" t="n">
        <x:v>55</x:v>
      </x:c>
      <x:c r="S11" s="17" t="str">
        <x:v>verifier_pass</x:v>
      </x:c>
      <x:c r="T11" s="18" t="n">
        <x:v>1</x:v>
      </x:c>
      <x:c r="U11" s="18" t="str">
        <x:v>—</x:v>
      </x:c>
      <x:c r="V11" s="18" t="n">
        <x:v>0</x:v>
      </x:c>
      <x:c r="W11" s="18" t="n">
        <x:v>0</x:v>
      </x:c>
      <x:c r="X11" s="17" t="str">
        <x:v>data/raw/formal-task003-local-3x3-minimaxm3-20260823-02/noskill/replicate-03/result.json</x:v>
      </x:c>
    </x:row>
    <x:row r="12">
      <x:c r="A12" s="17" t="str">
        <x:v>Native-03</x:v>
      </x:c>
      <x:c r="B12" s="17" t="str">
        <x:v>Native</x:v>
      </x:c>
      <x:c r="C12" s="17" t="n">
        <x:v>3</x:v>
      </x:c>
      <x:c r="D12" s="17" t="str">
        <x:v>通过</x:v>
      </x:c>
      <x:c r="E12" s="18" t="n">
        <x:v>1</x:v>
      </x:c>
      <x:c r="F12" s="18" t="n">
        <x:v>1</x:v>
      </x:c>
      <x:c r="G12" s="19" t="n">
        <x:v>2</x:v>
      </x:c>
      <x:c r="H12" s="19" t="n">
        <x:v>64</x:v>
      </x:c>
      <x:c r="I12" s="19" t="n">
        <x:v>63</x:v>
      </x:c>
      <x:c r="J12" s="19" t="n">
        <x:v>52534</x:v>
      </x:c>
      <x:c r="K12" s="19" t="n">
        <x:v>18704</x:v>
      </x:c>
      <x:c r="L12" s="19" t="n">
        <x:v>2026020</x:v>
      </x:c>
      <x:c r="M12" s="19" t="n">
        <x:f>J12+K12</x:f>
        <x:v>71238</x:v>
      </x:c>
      <x:c r="N12" s="20" t="n">
        <x:v>0.1597662</x:v>
      </x:c>
      <x:c r="O12" s="17" t="str">
        <x:v>minimax-cn</x:v>
      </x:c>
      <x:c r="P12" s="17" t="str">
        <x:v>MiniMax-M3</x:v>
      </x:c>
      <x:c r="Q12" s="17" t="str">
        <x:v>ses_fd20c873effe93X7aZFBcraAD8</x:v>
      </x:c>
      <x:c r="R12" s="17" t="n">
        <x:v>55</x:v>
      </x:c>
      <x:c r="S12" s="17" t="str">
        <x:v>verifier_pass_after_model_timeout</x:v>
      </x:c>
      <x:c r="T12" s="18" t="n">
        <x:v>1</x:v>
      </x:c>
      <x:c r="U12" s="18" t="str">
        <x:v>—</x:v>
      </x:c>
      <x:c r="V12" s="18" t="n">
        <x:v>0</x:v>
      </x:c>
      <x:c r="W12" s="18" t="n">
        <x:v>0</x:v>
      </x:c>
      <x:c r="X12" s="17" t="str">
        <x:v>data/raw/formal-task003-local-3x3-minimaxm3-20260823-02/native/replicate-03/result.json</x:v>
      </x:c>
    </x:row>
    <x:row r="13">
      <x:c r="A13" s="17" t="str">
        <x:v>PD-VISTA-03</x:v>
      </x:c>
      <x:c r="B13" s="17" t="str">
        <x:v>PD-VISTA</x:v>
      </x:c>
      <x:c r="C13" s="17" t="n">
        <x:v>3</x:v>
      </x:c>
      <x:c r="D13" s="17" t="str">
        <x:v>通过（无反馈闭环）</x:v>
      </x:c>
      <x:c r="E13" s="18" t="n">
        <x:v>1</x:v>
      </x:c>
      <x:c r="F13" s="18" t="n">
        <x:v>1</x:v>
      </x:c>
      <x:c r="G13" s="19" t="n">
        <x:v>1</x:v>
      </x:c>
      <x:c r="H13" s="19" t="n">
        <x:v>31</x:v>
      </x:c>
      <x:c r="I13" s="19" t="n">
        <x:v>30</x:v>
      </x:c>
      <x:c r="J13" s="19" t="n">
        <x:v>36236</x:v>
      </x:c>
      <x:c r="K13" s="19" t="n">
        <x:v>10084</x:v>
      </x:c>
      <x:c r="L13" s="19" t="n">
        <x:v>830976</x:v>
      </x:c>
      <x:c r="M13" s="19" t="n">
        <x:f>J13+K13</x:f>
        <x:v>46320</x:v>
      </x:c>
      <x:c r="N13" s="20" t="n">
        <x:v>0.07283016</x:v>
      </x:c>
      <x:c r="O13" s="17" t="str">
        <x:v>minimax-cn</x:v>
      </x:c>
      <x:c r="P13" s="17" t="str">
        <x:v>MiniMax-M3</x:v>
      </x:c>
      <x:c r="Q13" s="17" t="str">
        <x:v>ses_fd217ceb5ffec55UJ2xbo27pFm</x:v>
      </x:c>
      <x:c r="R13" s="17" t="n">
        <x:v>55</x:v>
      </x:c>
      <x:c r="S13" s="17" t="str">
        <x:v>verifier_pass</x:v>
      </x:c>
      <x:c r="T13" s="18" t="n">
        <x:v>0</x:v>
      </x:c>
      <x:c r="U13" s="18" t="str">
        <x:v>—</x:v>
      </x:c>
      <x:c r="V13" s="18" t="n">
        <x:v>0</x:v>
      </x:c>
      <x:c r="W13" s="18" t="n">
        <x:v>0</x:v>
      </x:c>
      <x:c r="X13" s="17" t="str">
        <x:v>data/raw/formal-task003-local-3x3-minimaxm3-20260823-02/pd-vista/replicate-03/result.json</x:v>
      </x:c>
    </x:row>
  </x:sheetData>
  <x:mergeCells>
    <x:mergeCell ref="A1:X1"/>
    <x:mergeCell ref="A2:W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5" hidden="0" customWidth="1"/>
    <x:col min="4" max="4" width="15" hidden="0" customWidth="1"/>
    <x:col min="5" max="5" width="15" hidden="0" customWidth="1"/>
    <x:col min="6" max="6" width="17" hidden="0" customWidth="1"/>
    <x:col min="7" max="7" width="12" hidden="0" customWidth="1"/>
    <x:col min="8" max="8" width="11" hidden="0" customWidth="1"/>
    <x:col min="9" max="9" width="15" hidden="0" customWidth="1"/>
    <x:col min="10" max="10" width="16" hidden="0" customWidth="1"/>
  </x:cols>
  <x:sheetData>
    <x:row r="1" ht="30" customHeight="1">
      <x:c r="A1" s="4" t="str">
        <x:v>Token 与成本｜正式纳入组与全量结果文件</x:v>
      </x:c>
      <x:c r="B1" s="4" t="str">
        <x:v>Token 与成本｜正式纳入组与全量结果文件</x:v>
      </x:c>
      <x:c r="C1" s="4" t="str">
        <x:v>Token 与成本｜正式纳入组与全量结果文件</x:v>
      </x:c>
      <x:c r="D1" s="4" t="str">
        <x:v>Token 与成本｜正式纳入组与全量结果文件</x:v>
      </x:c>
      <x:c r="E1" s="4" t="str">
        <x:v>Token 与成本｜正式纳入组与全量结果文件</x:v>
      </x:c>
      <x:c r="F1" s="4" t="str">
        <x:v>Token 与成本｜正式纳入组与全量结果文件</x:v>
      </x:c>
      <x:c r="G1" s="4" t="str">
        <x:v>Token 与成本｜正式纳入组与全量结果文件</x:v>
      </x:c>
      <x:c r="H1" s="4" t="str">
        <x:v>Token 与成本｜正式纳入组与全量结果文件</x:v>
      </x:c>
      <x:c r="I1" s="4" t="str">
        <x:v>Token 与成本｜正式纳入组与全量结果文件</x:v>
      </x:c>
      <x:c r="J1" s="4" t="str">
        <x:v>Token 与成本｜正式纳入组与全量结果文件</x:v>
      </x:c>
    </x:row>
    <x:row r="3">
      <x:c r="A3" s="7" t="str">
        <x:v>正式比较口径：排除 status=quarantined_* 的 API/控制器基础设施错误；Token 与费用均来自各隔离 OpenCode opencode.db 的只读审计。</x:v>
      </x:c>
      <x:c r="B3" s="7"/>
      <x:c r="C3" s="7"/>
      <x:c r="D3" s="7"/>
      <x:c r="E3" s="7"/>
      <x:c r="F3" s="7"/>
      <x:c r="G3" s="7"/>
      <x:c r="H3" s="7"/>
      <x:c r="I3" s="7"/>
      <x:c r="J3" s="7"/>
    </x:row>
    <x:row r="5" ht="30" customHeight="1">
      <x:c r="A5" s="13" t="str">
        <x:v>条件</x:v>
      </x:c>
      <x:c r="B5" s="13" t="str">
        <x:v>纳入组数</x:v>
      </x:c>
      <x:c r="C5" s="13" t="str">
        <x:v>输入Token</x:v>
      </x:c>
      <x:c r="D5" s="13" t="str">
        <x:v>输出Token</x:v>
      </x:c>
      <x:c r="E5" s="13" t="str">
        <x:v>总Token</x:v>
      </x:c>
      <x:c r="F5" s="13" t="str">
        <x:v>cache-read Token</x:v>
      </x:c>
      <x:c r="G5" s="13" t="str">
        <x:v>工具调用</x:v>
      </x:c>
      <x:c r="H5" s="13" t="str">
        <x:v>请求数</x:v>
      </x:c>
      <x:c r="I5" s="13" t="str">
        <x:v>记录费用</x:v>
      </x:c>
      <x:c r="J5" s="13" t="str">
        <x:v>平均每组费用</x:v>
      </x:c>
    </x:row>
    <x:row r="6">
      <x:c r="A6" s="17" t="str">
        <x:v>No-Skill</x:v>
      </x:c>
      <x:c r="B6" s="18" t="n">
        <x:f>SUMIF('9组明细'!$B$5:$B$13,A6,'9组明细'!$E$5:$E$13)</x:f>
        <x:v>3</x:v>
      </x:c>
      <x:c r="C6" s="19" t="n">
        <x:f>SUMIF('9组明细'!$B$5:$B$13,A6,'9组明细'!$J$5:$J$13)</x:f>
        <x:v>137558</x:v>
      </x:c>
      <x:c r="D6" s="19" t="n">
        <x:f>SUMIF('9组明细'!$B$5:$B$13,A6,'9组明细'!$K$5:$K$13)</x:f>
        <x:v>51881</x:v>
      </x:c>
      <x:c r="E6" s="19" t="n">
        <x:f>C6+D6</x:f>
        <x:v>189439</x:v>
      </x:c>
      <x:c r="F6" s="19" t="n">
        <x:f>SUMIF('9组明细'!$B$5:$B$13,A6,'9组明细'!$L$5:$L$13)</x:f>
        <x:v>3523210</x:v>
      </x:c>
      <x:c r="G6" s="19" t="n">
        <x:f>SUMIF('9组明细'!$B$5:$B$13,A6,'9组明细'!$I$5:$I$13)</x:f>
        <x:v>124</x:v>
      </x:c>
      <x:c r="H6" s="19" t="n">
        <x:f>SUMIF('9组明细'!$B$5:$B$13,A6,'9组明细'!$H$5:$H$13)</x:f>
        <x:v>128</x:v>
      </x:c>
      <x:c r="I6" s="20" t="n">
        <x:f>SUMIF('9组明细'!$B$5:$B$13,A6,'9组明细'!$N$5:$N$13)</x:f>
        <x:v>0.3149172</x:v>
      </x:c>
      <x:c r="J6" s="20" t="n">
        <x:f>IF(B6=0,0,I6/B6)</x:f>
        <x:v>0.10497240000000001</x:v>
      </x:c>
    </x:row>
    <x:row r="7">
      <x:c r="A7" s="17" t="str">
        <x:v>Native</x:v>
      </x:c>
      <x:c r="B7" s="18" t="n">
        <x:f>SUMIF('9组明细'!$B$5:$B$13,A7,'9组明细'!$E$5:$E$13)</x:f>
        <x:v>3</x:v>
      </x:c>
      <x:c r="C7" s="19" t="n">
        <x:f>SUMIF('9组明细'!$B$5:$B$13,A7,'9组明细'!$J$5:$J$13)</x:f>
        <x:v>148071</x:v>
      </x:c>
      <x:c r="D7" s="19" t="n">
        <x:f>SUMIF('9组明细'!$B$5:$B$13,A7,'9组明细'!$K$5:$K$13)</x:f>
        <x:v>39366</x:v>
      </x:c>
      <x:c r="E7" s="19" t="n">
        <x:f>C7+D7</x:f>
        <x:v>187437</x:v>
      </x:c>
      <x:c r="F7" s="19" t="n">
        <x:f>SUMIF('9组明细'!$B$5:$B$13,A7,'9组明细'!$L$5:$L$13)</x:f>
        <x:v>3091138</x:v>
      </x:c>
      <x:c r="G7" s="19" t="n">
        <x:f>SUMIF('9组明细'!$B$5:$B$13,A7,'9组明细'!$I$5:$I$13)</x:f>
        <x:v>126</x:v>
      </x:c>
      <x:c r="H7" s="19" t="n">
        <x:f>SUMIF('9组明细'!$B$5:$B$13,A7,'9组明细'!$H$5:$H$13)</x:f>
        <x:v>129</x:v>
      </x:c>
      <x:c r="I7" s="20" t="n">
        <x:f>SUMIF('9组明细'!$B$5:$B$13,A7,'9组明细'!$N$5:$N$13)</x:f>
        <x:v>0.27712877999999996</x:v>
      </x:c>
      <x:c r="J7" s="20" t="n">
        <x:f>IF(B7=0,0,I7/B7)</x:f>
        <x:v>0.09237625999999999</x:v>
      </x:c>
    </x:row>
    <x:row r="8">
      <x:c r="A8" s="17" t="str">
        <x:v>PD-VISTA</x:v>
      </x:c>
      <x:c r="B8" s="18" t="n">
        <x:f>SUMIF('9组明细'!$B$5:$B$13,A8,'9组明细'!$E$5:$E$13)</x:f>
        <x:v>3</x:v>
      </x:c>
      <x:c r="C8" s="19" t="n">
        <x:f>SUMIF('9组明细'!$B$5:$B$13,A8,'9组明细'!$J$5:$J$13)</x:f>
        <x:v>173981</x:v>
      </x:c>
      <x:c r="D8" s="19" t="n">
        <x:f>SUMIF('9组明细'!$B$5:$B$13,A8,'9组明细'!$K$5:$K$13)</x:f>
        <x:v>44970</x:v>
      </x:c>
      <x:c r="E8" s="19" t="n">
        <x:f>C8+D8</x:f>
        <x:v>218951</x:v>
      </x:c>
      <x:c r="F8" s="19" t="n">
        <x:f>SUMIF('9组明细'!$B$5:$B$13,A8,'9组明细'!$L$5:$L$13)</x:f>
        <x:v>3978754</x:v>
      </x:c>
      <x:c r="G8" s="19" t="n">
        <x:f>SUMIF('9组明细'!$B$5:$B$13,A8,'9组明细'!$I$5:$I$13)</x:f>
        <x:v>143</x:v>
      </x:c>
      <x:c r="H8" s="19" t="n">
        <x:f>SUMIF('9组明细'!$B$5:$B$13,A8,'9组明细'!$H$5:$H$13)</x:f>
        <x:v>147</x:v>
      </x:c>
      <x:c r="I8" s="20" t="n">
        <x:f>SUMIF('9组明细'!$B$5:$B$13,A8,'9组明细'!$N$5:$N$13)</x:f>
        <x:v>0.34488354</x:v>
      </x:c>
      <x:c r="J8" s="20" t="n">
        <x:f>IF(B8=0,0,I8/B8)</x:f>
        <x:v>0.11496118</x:v>
      </x:c>
    </x:row>
    <x:row r="9">
      <x:c r="A9" s="33" t="str">
        <x:v>合计</x:v>
      </x:c>
      <x:c r="B9" s="38" t="n">
        <x:f>SUM(B6:B8)</x:f>
        <x:v>9</x:v>
      </x:c>
      <x:c r="C9" s="36" t="n">
        <x:f>SUM(C6:C8)</x:f>
        <x:v>459610</x:v>
      </x:c>
      <x:c r="D9" s="36" t="n">
        <x:f>SUM(D6:D8)</x:f>
        <x:v>136217</x:v>
      </x:c>
      <x:c r="E9" s="36" t="n">
        <x:f>SUM(E6:E8)</x:f>
        <x:v>595827</x:v>
      </x:c>
      <x:c r="F9" s="36" t="n">
        <x:f>SUM(F6:F8)</x:f>
        <x:v>10593102</x:v>
      </x:c>
      <x:c r="G9" s="36" t="n">
        <x:f>SUM(G6:G8)</x:f>
        <x:v>393</x:v>
      </x:c>
      <x:c r="H9" s="36" t="n">
        <x:f>SUM(H6:H8)</x:f>
        <x:v>404</x:v>
      </x:c>
      <x:c r="I9" s="37" t="n">
        <x:f>SUM(I6:I8)</x:f>
        <x:v>0.93692952</x:v>
      </x:c>
      <x:c r="J9" s="37" t="n">
        <x:f>IF(B9=0,0,I9/B9)</x:f>
        <x:v>0.10410327999999999</x:v>
      </x:c>
    </x:row>
  </x:sheetData>
  <x:mergeCells>
    <x:mergeCell ref="A1:J1"/>
    <x:mergeCell ref="A3:J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34" hidden="0" customWidth="1"/>
    <x:col min="4" max="4" width="38" hidden="0" customWidth="1"/>
    <x:col min="5" max="5" width="16" hidden="0" customWidth="1"/>
    <x:col min="6" max="6" width="32" hidden="0" customWidth="1"/>
  </x:cols>
  <x:sheetData>
    <x:row r="1" ht="30" customHeight="1">
      <x:c r="A1" s="4" t="str">
        <x:v>方法与流程｜task3 本机执行协议</x:v>
      </x:c>
      <x:c r="B1" s="4" t="str">
        <x:v>方法与流程｜task3 本机执行协议</x:v>
      </x:c>
      <x:c r="C1" s="4" t="str">
        <x:v>方法与流程｜task3 本机执行协议</x:v>
      </x:c>
      <x:c r="D1" s="4" t="str">
        <x:v>方法与流程｜task3 本机执行协议</x:v>
      </x:c>
      <x:c r="E1" s="4" t="str">
        <x:v>方法与流程｜task3 本机执行协议</x:v>
      </x:c>
      <x:c r="F1" s="4" t="str">
        <x:v>方法与流程｜task3 本机执行协议</x:v>
      </x:c>
    </x:row>
    <x:row r="3" ht="30" customHeight="1">
      <x:c r="A3" s="13" t="str">
        <x:v>环节</x:v>
      </x:c>
      <x:c r="B3" s="13" t="str">
        <x:v>执行内容</x:v>
      </x:c>
      <x:c r="C3" s="13" t="str">
        <x:v>统一规则</x:v>
      </x:c>
      <x:c r="D3" s="13" t="str">
        <x:v>审计证据</x:v>
      </x:c>
      <x:c r="E3" s="13" t="str">
        <x:v>结果</x:v>
      </x:c>
      <x:c r="F3" s="13" t="str">
        <x:v>备注</x:v>
      </x:c>
    </x:row>
    <x:row r="4">
      <x:c r="A4" s="46" t="str">
        <x:v>任务身份</x:v>
      </x:c>
      <x:c r="B4" s="17" t="str">
        <x:v>task-003 / data-to-d3</x:v>
      </x:c>
      <x:c r="C4" s="17" t="str">
        <x:v>先独立确认 task.yaml 与 benchmark_task_id</x:v>
      </x:c>
      <x:c r="D4" s="17" t="str">
        <x:v>tasks/pilot/task-003/task.yaml</x:v>
      </x:c>
      <x:c r="E4" s="17" t="str">
        <x:v>已确认</x:v>
      </x:c>
      <x:c r="F4" s="17" t="str">
        <x:v>来源为本机 vendor/skillsbench 任务材料</x:v>
      </x:c>
    </x:row>
    <x:row r="5">
      <x:c r="A5" s="46" t="str">
        <x:v>材料与资产</x:v>
      </x:c>
      <x:c r="B5" s="17" t="str">
        <x:v>task.md、50 个 CSV、原始 d3-visualization 模块、PD-VISTA 根路由与 manifest</x:v>
      </x:c>
      <x:c r="C5" s="17" t="str">
        <x:v>各组复制到独立 workspace；仅共享依赖缓存</x:v>
      </x:c>
      <x:c r="D5" s="17" t="str">
        <x:v>各 trial workspace 与 readiness.json</x:v>
      </x:c>
      <x:c r="E5" s="17" t="str">
        <x:v>满足直接执行</x:v>
      </x:c>
      <x:c r="F5" s="17" t="str">
        <x:v>不共享任务文件、中间产物或模型会话</x:v>
      </x:c>
    </x:row>
    <x:row r="6">
      <x:c r="A6" s="46" t="str">
        <x:v>Verifier</x:v>
      </x:c>
      <x:c r="B6" s="17" t="str">
        <x:v>完整 pytest + Playwright 本地 HTTP fixture</x:v>
      </x:c>
      <x:c r="C6" s="17" t="str">
        <x:v>每轮公开运行；动态临时端口；单轮 verifier 上限 300 秒</x:v>
      </x:c>
      <x:c r="D6" s="17" t="str">
        <x:v>verifier-turn-*.txt、最终结果 JSON</x:v>
      </x:c>
      <x:c r="E6" s="17" t="str">
        <x:v>15 tests collected</x:v>
      </x:c>
      <x:c r="F6" s="17" t="str">
        <x:v>首次固定端口问题已作为诊断批次排除</x:v>
      </x:c>
    </x:row>
    <x:row r="7">
      <x:c r="A7" s="46" t="str">
        <x:v>No-Skill</x:v>
      </x:c>
      <x:c r="B7" s="17" t="str">
        <x:v>首轮只给共同任务提示，不提供任务 Skill</x:v>
      </x:c>
      <x:c r="C7" s="17" t="str">
        <x:v>失败只返回清洗后的公开诊断</x:v>
      </x:c>
      <x:c r="D7" s="17" t="str">
        <x:v>条件提示词、逐轮 prompt</x:v>
      </x:c>
      <x:c r="E7" s="17" t="str">
        <x:v>3/3 通过</x:v>
      </x:c>
      <x:c r="F7" s="17" t="str">
        <x:v>历史 No-Skill-2/3 API 429 尝试保留；重做后全部纳入</x:v>
      </x:c>
    </x:row>
    <x:row r="8">
      <x:c r="A8" s="46" t="str">
        <x:v>Native</x:v>
      </x:c>
      <x:c r="B8" s="17" t="str">
        <x:v>首轮完整提供原始 d3-visualization/SKILL.md</x:v>
      </x:c>
      <x:c r="C8" s="17" t="str">
        <x:v>与其他条件使用同一任务提示、Verifier、轮数、超时</x:v>
      </x:c>
      <x:c r="D8" s="17" t="str">
        <x:v>初始提示词与 workspace/modules</x:v>
      </x:c>
      <x:c r="E8" s="17" t="str">
        <x:v>3/3 通过</x:v>
      </x:c>
      <x:c r="F8" s="17" t="str">
        <x:v>均为独立 session</x:v>
      </x:c>
    </x:row>
    <x:row r="9">
      <x:c r="A9" s="46" t="str">
        <x:v>PD-VISTA</x:v>
      </x:c>
      <x:c r="B9" s="17" t="str">
        <x:v>首轮只提供 VISTA.md 根路由；公开失败后最多披露一个模块</x:v>
      </x:c>
      <x:c r="C9" s="17" t="str">
        <x:v>记录触发机会、披露模块、下一轮访问和闭环</x:v>
      </x:c>
      <x:c r="D9" s="17" t="str">
        <x:v>PD披露证据、disclosure_events</x:v>
      </x:c>
      <x:c r="E9" s="17" t="str">
        <x:v>3/3通过；1/3干净闭环</x:v>
      </x:c>
      <x:c r="F9" s="17" t="str">
        <x:v>PD-1/3 首轮直接通过，未触发披露机会</x:v>
      </x:c>
    </x:row>
    <x:row r="10">
      <x:c r="A10" s="46" t="str">
        <x:v>容错</x:v>
      </x:c>
      <x:c r="B10" s="17" t="str">
        <x:v>模型调用超时后先验收已落盘文件；未通过则同 session 继续公开诊断修复</x:v>
      </x:c>
      <x:c r="C10" s="17" t="str">
        <x:v>统一 max_turns=6；普通任务失败不终止后续组</x:v>
      </x:c>
      <x:c r="D10" s="17" t="str">
        <x:v>turns[].model_turn_timeout、public_diagnostic</x:v>
      </x:c>
      <x:c r="E10" s="17" t="str">
        <x:v>已执行</x:v>
      </x:c>
      <x:c r="F10" s="17" t="str">
        <x:v>历史隔离尝试 9 条，最终逻辑组均有效</x:v>
      </x:c>
    </x:row>
    <x:row r="11">
      <x:c r="A11" s="46" t="str">
        <x:v>交错顺序</x:v>
      </x:c>
      <x:c r="B11" s="17" t="str">
        <x:v>1N→1Native→1PD→2Native→2PD→2N→3PD→3N→3Native</x:v>
      </x:c>
      <x:c r="C11" s="17" t="str">
        <x:v>9 个逻辑单元唯一且平衡</x:v>
      </x:c>
      <x:c r="D11" s="17" t="str">
        <x:v>group-summary.json schedule</x:v>
      </x:c>
      <x:c r="E11" s="17" t="str">
        <x:v>已执行</x:v>
      </x:c>
      <x:c r="F11" s="17" t="str">
        <x:v>重跑只替换受影响逻辑单元的最新有效尝试</x:v>
      </x:c>
    </x:row>
    <x:row r="12">
      <x:c r="A12" s="46" t="str">
        <x:v>模型与路线</x:v>
      </x:c>
      <x:c r="B12" s="17" t="str">
        <x:v>当前 OpenCode 配置 minimax-cn/MiniMax-M3</x:v>
      </x:c>
      <x:c r="C12" s="17" t="str">
        <x:v>禁止替换模型；不使用 Docker/SkillBench 平台</x:v>
      </x:c>
      <x:c r="D12" s="17" t="str">
        <x:v>只读 DB provider/model、launcher 摘要</x:v>
      </x:c>
      <x:c r="E12" s="17" t="str">
        <x:v>已确认</x:v>
      </x:c>
      <x:c r="F12" s="17" t="str">
        <x:v>OpenCode 1.18.18</x:v>
      </x:c>
    </x:row>
    <x:row r="13">
      <x:c r="A13" s="46" t="str">
        <x:v>审计与交付</x:v>
      </x:c>
      <x:c r="B13" s="17" t="str">
        <x:v>逐组核对结果 JSON、session、DB、Verifier；生成中文 xlsx</x:v>
      </x:c>
      <x:c r="C13" s="17" t="str">
        <x:v>公式汇总；逐页渲染；公式错误扫描=0</x:v>
      </x:c>
      <x:c r="D13" s="17" t="str">
        <x:v>posthoc-audit.json、rendered-workbook</x:v>
      </x:c>
      <x:c r="E13" s="17" t="str">
        <x:v>已完成</x:v>
      </x:c>
      <x:c r="F13" s="17" t="str">
        <x:v>本工作簿不覆盖 task1/task2/task7</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78" hidden="0" customWidth="1"/>
    <x:col min="3" max="3" width="43" hidden="0" customWidth="1"/>
    <x:col min="4" max="4" width="62" hidden="0" customWidth="1"/>
    <x:col min="5" max="5" width="43" hidden="0" customWidth="1"/>
    <x:col min="6" max="6" width="28" hidden="0" customWidth="1"/>
  </x:cols>
  <x:sheetData>
    <x:row r="1" ht="30" customHeight="1">
      <x:c r="A1" s="4" t="str">
        <x:v>条件提示词｜原始提示与中文说明</x:v>
      </x:c>
      <x:c r="B1" s="4" t="str">
        <x:v>条件提示词｜原始提示与中文说明</x:v>
      </x:c>
      <x:c r="C1" s="4" t="str">
        <x:v>条件提示词｜原始提示与中文说明</x:v>
      </x:c>
      <x:c r="D1" s="4" t="str">
        <x:v>条件提示词｜原始提示与中文说明</x:v>
      </x:c>
      <x:c r="E1" s="4" t="str">
        <x:v>条件提示词｜原始提示与中文说明</x:v>
      </x:c>
      <x:c r="F1" s="4" t="str">
        <x:v>条件提示词｜原始提示与中文说明</x:v>
      </x:c>
    </x:row>
    <x:row r="3" ht="30" customHeight="1">
      <x:c r="A3" s="13" t="str">
        <x:v>条件</x:v>
      </x:c>
      <x:c r="B3" s="13" t="str">
        <x:v>首轮原始提示词（英文）</x:v>
      </x:c>
      <x:c r="C3" s="13" t="str">
        <x:v>中文说明</x:v>
      </x:c>
      <x:c r="D3" s="13" t="str">
        <x:v>公开失败反馈原文（清洗后摘要）</x:v>
      </x:c>
      <x:c r="E3" s="13" t="str">
        <x:v>下一轮处理</x:v>
      </x:c>
      <x:c r="F3" s="13" t="str">
        <x:v>审计备注</x:v>
      </x:c>
    </x:row>
    <x:row r="4" ht="150" customHeight="1">
      <x:c r="A4" s="46" t="str">
        <x:v>No-Skill</x:v>
      </x:c>
      <x:c r="B4" s="17" t="str">
        <x:v>Solve the isolated data-to-D3 task in this working directory. Work only inside this directory and do not access parent or external directories. First read task.md and inspect the local data under ./data. Produce the requested browser-openable single-page web app under ./output/index.html with the exact supporting paths requested by task.md. Use only local inputs and deterministic D3.js v6 assets; do not fetch external data or libraries. You may run local browser checks when useful. The controller runs the complete acceptance verifier after each turn. No task Skill is available in this condition; solve from task.md and the local data only.</x:v>
      </x:c>
      <x:c r="C4" s="17" t="str">
        <x:v>本条件首轮提示的中文含义：仅依据 task.md 与本地数据完成 D3 网页，不得访问外部目录或外部依赖。</x:v>
      </x:c>
      <x:c r="D4" s="17" t="str">
        <x:v>公开反馈摘要：
=================================== FAILURES ===================================
________________________ test_tooltips_non_etf_and_etf _________________________
def test_tooltips_non_etf_and_etf(browser_page):
"""Non-ETF bubbles should show tooltips; ETF bubbles should not."""
# Tooltip uses .visible class to show (opacity: 1), not display property
tooltip_locator = '.tooltip.visible, #tooltip.visible, [role="tooltip"][class*="visible"]'
etf_tickers = ['SPY', 'VOO', 'QQQ', 'GLD', 'XLF', 'VWO', 'XLU', 'XLV', 'VEA', 'VTV']
page.wait_for_timeout(400)
ticker_pattern = re.compile(r'^[A-Z]{1,4}$')
if ticker_pattern.match(text_content) and text_content not in etf_tickers:
# Test 1: ETF bubbles should NOT show tooltips
page.wait_for_timeout(500)
for candidate in etf_tickers:
print("⚠ Could not locate ETF bubble by ticker label for screenshot")
# Wait for any tooltip to appear (if incorrectly configured)
page.wait_for_timeout(200)
# Save screenshot showing ETF hover (should show no tooltip)
page.screenshot(path="&lt;local-path&gt; full_page=True)
print(f"✓ ETF hover screenshot saved for {etf_label} (should show no tooltip)")
print(f"⚠ Failed to save ETF hover screenshot: {e}")
# After hovering ETF, ensure tooltip is not visible
etf_tooltip = page.locator(tooltip_locator)
assert etf_tooltip.count() == 0, \
"ETF bubble should not show a tooltip (instruction.md requirement)"
# Test 2: Non-ETF bubbles should show tooltips with ticker, name, and sector
assert non_etf_label is not None, "Could not find a non-ETF ticker label to hover"
assert hover_label_text(non_etf_label), f"Could not hover non-ETF label {non_etf_label}"
tooltip = page.locator(tooltip_locator)
&gt;       assert tooltip.count() &gt; 0, "Tooltip did not appear on non-ETF hover"
E       AssertionError: Tooltip did not appear on non-ETF hover
E       assert 0 &gt; 0
E        +    where count = &lt;Locator frame=&lt;Frame name= url='http://localhost:60835/index.html'&gt; selector='.tooltip.visible, #tooltip.visible, [role="tooltip"][class*="visible"]'&gt;.count
&lt;local-path&gt;:574: AssertionError
✓ ETF hover screenshot saved for SPY (should show no tooltip)
____________________________ test_sector_clustering ____________________________
def test_sector_clustering(browser_page):
"""Bubbles of the same sector must be spatially grouped together."""
# Wait for force simulation to fully settle into clusters
page.wait_for_timeout(3000)
# Get all bubbles with their positions and colors
bubbles = page.locator('svg circle')
bubble_count = bubbles.count()
assert bubble_count &gt;= 50, "Need at least 50 bubbles for clustering test"
# Extract bubble data using bounding box (actual rendered position, not cx/cy attributes)
bubble_data = []
sectors = defaultdict(list)
for i in range(bubble_count):
bubble = bubbles.nth(i)
box = bubble.bounding_box()
fill = bubble.get_attribute('fill') or bubble.evaluate('node =&gt; getComputedStyle(node).fill')
bubble_data.append({'x': center_x, 'y': center_y, 'fill': fill})
sectors[fill].append((center_x, center_y))
# instruction.md: "bubbles of the same sector should be pulled together into distinct groups"
# Verify that we have 5 distinct sector colors (one per sector)
sector_colors = {color: positions for color, positions in sectors.items() if len(positions) &gt;= 5}
assert len(sector_colors) == 5, \
f"Expected 5 sector colors with multiple bubbles each, found {len(sector_colors)} " \
f"(total colors including selection indicators: {len(sectors)})"
# Verify bubbles are spread across the chart (force simulation created layout)
if len(bubble_data) &gt; 1:
all_x = [b['x'] for b in bubble_data]
all_y = [b['y'] for b in bubble_data]
# Bubbles should occupy a reasonable area (not all stacked at one point)
assert x_spread &gt; 50 and y_spread &gt; 50, \
f"Bubbles are not spread out (x_spread: {x_spread:.1f}px, y_spread: {y_spread:.1f}px). " \
# Calculate centroid for each sector (for cohesion check)
sector_centroids = {}
for color, positions in sector_colors.items():
sector_centroids[color] = (avg_x, avg_y)
# Test that all 5 sector clusters are kept close together (not scattered to opposite corners)
# instruction.md: "all 5 sector clusters kept close together and centered within the chart"
# Calculate overall centroid (center of all bubbles)
# Only use actual sector bubbles (excluding selection indicators)
all_positions = [pos for color, positions in sector_colors.items() for pos in positions]
# Check that all sector centroids are reasonably close to the overall center
for color, centroid in sector_centroids.items():
# All sector centroids should be within 40% of the chart diagonal from overall center
# This ensures clusters are kept together, not scattered to opposite corners
&gt;       assert max_centroid_distance &lt;= max_allowed_distance, \
f"Sector centroids are too spread out (max distance: {max_centroid_distance:.1f}px, " \
f"allowed: {max_allowed_distance:.1f}px). instruction.md requires all 5 sector clusters " \
E       AssertionError: Sector centroids are too spread out (max distance: 410.5px, allowed: 399.9px). instruction.md requires all 5 sector clusters to be kept close together and centered within the chart.
E       assert 410.5472323993352 &lt;= 399.94240288446537
&lt;local-path&gt;:811: AssertionError
FAILED test_outputs.py::test_tooltips_non_etf_and_etf - AssertionError: Toolt...
FAILED test_outputs.py::test_sector_clustering - AssertionError: Sector centr...
2 failed, 13 passed in 21.50s</x:v>
      </x:c>
      <x:c r="E4" s="17" t="str">
        <x:v>若失败：同 session 只返回公开诊断，不提供 Skill。</x:v>
      </x:c>
      <x:c r="F4" s="17" t="str">
        <x:v>不提供任务 Skill；历史 API 429 attempts 已保留，重做后 3/3 纳入。</x:v>
      </x:c>
    </x:row>
    <x:row r="5" ht="150" customHeight="1">
      <x:c r="A5" s="46" t="str">
        <x:v>Native</x:v>
      </x:c>
      <x:c r="B5" s="17" t="str">
        <x:v>Solve the isolated data-to-D3 task in this working directory. Work only inside this directory and do not access parent or external directories. First read task.md and inspect the local data under ./data. Produce the requested browser-openable single-page web app under ./output/index.html with the exact supporting paths requested by task.md. Use only local inputs and deterministic D3.js v6 assets; do not fetch external data or libraries. You may run local browser checks when useful. The controller runs the complete acceptance verifier after each turn. The full original guidance module is available at ./modules/d3-visualization/SKILL.md; read and use it.</x:v>
      </x:c>
      <x:c r="C5" s="17" t="str">
        <x:v>本条件首轮提示的中文含义：在相同任务约束下，首轮完整读取并使用原始 d3-visualization 指导。</x:v>
      </x:c>
      <x:c r="D5" s="17" t="str">
        <x:v>公开反馈摘要：
=================================== FAILURES ===================================
_________________________ test_bubble_chart_rendering __________________________
def test_bubble_chart_rendering(browser_page):
"""Bubble chart must render with correct number of bubbles, sizing, and coloring."""
page.wait_for_timeout(1000)
assert svg.count() &gt; 0, "No SVG element found - visualization may not be rendering"
# Check for SVG bubbles (instruction.md: "50 stocks")
bubbles = page.locator('svg circle')
bubble_count = bubbles.count()
if bubble_count == 0:
bubbles = page.locator('circle')
bubbles = page.locator('[class*="bubble"]')
# If still no bubbles, provide detailed error info
error_msg = f"Expected 50 bubbles for stocks, found {bubble_count}.\n"
error_msg += f"Console messages: {getattr(page, 'console_messages', [])}\n"
error_msg += f"Page errors: {getattr(page, 'page_errors', [])}\n"
error_msg += f"SVG innerHTML: {svg.first.inner_html()[:300] if svg.count() &gt; 0 else 'No SVG'}"
pytest.fail(error_msg)
assert bubble_count == 50, \
f"Expected 50 bubbles for stocks (instruction.md), found {bubble_count}"
# Get all bubble radii
for i in range(bubble_count):
r = bubbles.nth(i).get_attribute('r')
cx = bubbles.nth(i).get_attribute('cx')
cy = bubbles.nth(i).get_attribute('cy')
assert len(radii) == 50, f"Could not get radius values from all bubbles, got {len(radii)}"
# Basic overlap check (forceCollide requirement): most bubbles should not overlap
if len(positions) == bubble_count:
for j in range(i + 1, bubble_count):
assert overlap_count &lt;= 5, \
f"Too many overlapping bubbles ({overlap_count}) - forceCollide not working properly"
# Check that bubbles have varying sizes (market cap based)
# instruction.md: "Sized by market capitalization"
&gt;       assert len(unique_radii) &gt;= 5, \
f"Bubbles should have varying sizes based on market cap, found only {len(unique_radii)} unique sizes"
E       AssertionError: Bubbles should have varying sizes based on market cap, found only 2 unique sizes
E       assert 2 &gt;= 5
&lt;local-path&gt;:359: AssertionError
&lt;title&gt;Stock Sector Bubble Chart&lt;/title&gt;
&lt;h1&gt;Stock Sector Bubble Chart&lt;/h1&gt;
&lt;p class="subtitle"&gt;Stocks sized by market capitalization, clustered by sector. Click a bubble or table row to highlight.&lt;/p&gt;
&lt;h2&gt;Bubble Chart&lt;/h2&gt;
&lt;svg id="bubble-chart" width="820" height="6
✓ Page title: 'Stock Sector Bubble Chart'
✓ Found 1 table element(s)
✓ Bubbles rendered: 50 circles found
Page errors: 0
127.0.0.1 - - [23/Aug/2026 17:35:48] "GET /data/stock-descriptions.csv HTTP/1.1" 200 -
FAILED test_outputs.py::test_bubble_chart_rendering - AssertionError: Bubbles...
1 failed, 14 passed in 22.05s</x:v>
      </x:c>
      <x:c r="E5" s="17" t="str">
        <x:v>若失败：同 session 继续，原始模块仍可读。</x:v>
      </x:c>
      <x:c r="F5" s="17" t="str">
        <x:v>完整提供 d3-visualization 原始模块。</x:v>
      </x:c>
    </x:row>
    <x:row r="6" ht="150" customHeight="1">
      <x:c r="A6" s="46" t="str">
        <x:v>PD-VISTA</x:v>
      </x:c>
      <x:c r="B6" s="17" t="str">
        <x:v>Solve the isolated data-to-D3 task in this working directory. Work only inside this directory and do not access parent or external directories. First read task.md and inspect the local data under ./data. Produce the requested browser-openable single-page web app under ./output/index.html with the exact supporting paths requested by task.md. Use only local inputs and deterministic D3.js v6 assets; do not fetch external data or libraries. You may run local browser checks when useful. The controller runs the complete acceptance verifier after each turn. Read VISTA.md. The original guidance module is initially hidden; after a public verifier or browser-output failure, VISTA may disclose one relevant module at ./modules/d3-visualization/SKILL.md.</x:v>
      </x:c>
      <x:c r="C6" s="17" t="str">
        <x:v>本条件首轮提示的中文含义：首轮只读取 VISTA 根路由，原始模块默认隐藏；只有公开失败反馈触发时才披露一个模块。</x:v>
      </x:c>
      <x:c r="D6" s="17" t="str">
        <x:v>公开反馈摘要：
=================================== FAILURES ===================================
_________________________ test_bubble_chart_rendering __________________________
def test_bubble_chart_rendering(browser_page):
"""Bubble chart must render with correct number of bubbles, sizing, and coloring."""
page.wait_for_timeout(1000)
assert svg.count() &gt; 0, "No SVG element found - visualization may not be rendering"
# Check for SVG bubbles (instruction.md: "50 stocks")
bubbles = page.locator('svg circle')
bubble_count = bubbles.count()
if bubble_count == 0:
bubbles = page.locator('circle')
bubbles = page.locator('[class*="bubble"]')
# If still no bubbles, provide detailed error info
error_msg = f"Expected 50 bubbles for stocks, found {bubble_count}.\n"
error_msg += f"Console messages: {getattr(page, 'console_messages', [])}\n"
error_msg += f"Page errors: {getattr(page, 'page_errors', [])}\n"
error_msg += f"SVG innerHTML: {svg.first.inner_html()[:300] if svg.count() &gt; 0 else 'No SVG'}"
pytest.fail(error_msg)
&gt;       assert bubble_count == 50, \
f"Expected 50 bubbles for stocks (instruction.md), found {bubble_count}"
E       AssertionError: Expected 50 bubbles for stocks (instruction.md), found 55
E       assert 55 == 50
&lt;local-path&gt;:315: AssertionError
&lt;title&gt;Stock Market Capitalization Visualization&lt;/title&gt;
&lt;h1&gt;Stock Market Capitalization Visualization&lt;/h1&gt;
&lt;p&gt;S&amp;amp;P 500 sample &amp;mdash; 40 stocks + 10 ETFs, sized by market cap and clustered by sector.&lt;/p&gt;
&lt;h2&gt;Sector Cluster Bubble Chart&lt;/h2&gt;
✓ Page title: 'Stock Market Capitalization Visualization'
✓ Found 1 table element(s)
✓ Bubbles rendered: 55 circles found
Page errors: 0
127.0.0.1 - - [23/Aug/2026 17:47:00] "GET /data/stock-descriptions.csv HTTP/1.1" 200 -
"""Clicking bubbles must highlight corresponding table rows."""
# Get bubbles and table rows
bubbles = page.locator('svg circle, svg .bubble, circle.bubble')
assert bubbles.count() &gt; 0, "No bubbles found for interaction test"
table_rows = page.locator('table tbody tr, table tr:not(:first-child)')
assert table_rows.count() &gt; 0, "No table rows found for interaction test"
# Click first bubble (instruction.md: "Clicking a bubble highlights that row in the table")
first_bubble = bubbles.first
first_bubble.click()
page.wait_for_timeout(500)  # Wait for interaction
# Save screenshot of bubble click -&gt; table highlight interaction
page.screenshot(path="&lt;local-path&gt; full_page=True)
print(f"⚠ Failed to save interaction screenshot: {e}")
# Check if any table row has highlight class/style (instruction.md requirement)
'table tr.selected, table tr.highlighted, table tr[class*="select"], '
'table tr[class*="highlight"], table tbody tr.active'
const rows = document.querySelectorAll('table tbody tr, table tr:not(:first-child)');
&gt;           assert has_style_highlight, \
"Clicking a bubble must highlight the corresponding table row (instruction.md requirement)"
E           AssertionError: Clicking a bubble must highlight the corresponding table row (instruction.md requirement)
E           assert False
&lt;local-path&gt;:655: AssertionError
FAILED test_outputs.py::test_bubble_chart_rendering - AssertionError: Expecte...
FAILED test_outputs.py::test_interactive_linking - AssertionError: Clicking a...
2 failed, 13 passed in 21.21s</x:v>
      </x:c>
      <x:c r="E6" s="17" t="str">
        <x:v>若触发失败：路由一个模块，记录 disclosure_events，并验证下一轮实际读取。</x:v>
      </x:c>
      <x:c r="F6" s="17" t="str">
        <x:v>根路由初始可见；仅在公开失败后最多披露一个相关模块。</x:v>
      </x:c>
    </x:row>
  </x:sheetData>
  <x:mergeCells>
    <x:mergeCell ref="A1:F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3" hidden="0" customWidth="1"/>
    <x:col min="4" max="4" width="11" hidden="0" customWidth="1"/>
    <x:col min="5" max="5" width="22" hidden="0" customWidth="1"/>
    <x:col min="6" max="6" width="10" hidden="0" customWidth="1"/>
    <x:col min="7" max="7" width="10" hidden="0" customWidth="1"/>
    <x:col min="8" max="8" width="15" hidden="0" customWidth="1"/>
    <x:col min="9" max="9" width="15" hidden="0" customWidth="1"/>
    <x:col min="10" max="10" width="27" hidden="0" customWidth="1"/>
    <x:col min="11" max="11" width="75" hidden="0" customWidth="1"/>
  </x:cols>
  <x:sheetData>
    <x:row r="1" ht="30" customHeight="1">
      <x:c r="A1" s="4" t="str">
        <x:v>PD-VISTA 披露证据｜触发、披露、下一轮访问与闭环</x:v>
      </x:c>
      <x:c r="B1" s="4" t="str">
        <x:v>PD-VISTA 披露证据｜触发、披露、下一轮访问与闭环</x:v>
      </x:c>
      <x:c r="C1" s="4" t="str">
        <x:v>PD-VISTA 披露证据｜触发、披露、下一轮访问与闭环</x:v>
      </x:c>
      <x:c r="D1" s="4" t="str">
        <x:v>PD-VISTA 披露证据｜触发、披露、下一轮访问与闭环</x:v>
      </x:c>
      <x:c r="E1" s="4" t="str">
        <x:v>PD-VISTA 披露证据｜触发、披露、下一轮访问与闭环</x:v>
      </x:c>
      <x:c r="F1" s="4" t="str">
        <x:v>PD-VISTA 披露证据｜触发、披露、下一轮访问与闭环</x:v>
      </x:c>
      <x:c r="G1" s="4" t="str">
        <x:v>PD-VISTA 披露证据｜触发、披露、下一轮访问与闭环</x:v>
      </x:c>
      <x:c r="H1" s="4" t="str">
        <x:v>PD-VISTA 披露证据｜触发、披露、下一轮访问与闭环</x:v>
      </x:c>
      <x:c r="I1" s="4" t="str">
        <x:v>PD-VISTA 披露证据｜触发、披露、下一轮访问与闭环</x:v>
      </x:c>
      <x:c r="J1" s="4" t="str">
        <x:v>PD-VISTA 披露证据｜触发、披露、下一轮访问与闭环</x:v>
      </x:c>
      <x:c r="K1" s="4" t="str">
        <x:v>PD-VISTA 披露证据｜触发、披露、下一轮访问与闭环</x:v>
      </x:c>
    </x:row>
    <x:row r="3" ht="30" customHeight="1">
      <x:c r="A3" s="13" t="str">
        <x:v>组ID</x:v>
      </x:c>
      <x:c r="B3" s="13" t="str">
        <x:v>触发机会</x:v>
      </x:c>
      <x:c r="C3" s="13" t="str">
        <x:v>可路由反馈</x:v>
      </x:c>
      <x:c r="D3" s="13" t="str">
        <x:v>披露次数</x:v>
      </x:c>
      <x:c r="E3" s="13" t="str">
        <x:v>披露模块</x:v>
      </x:c>
      <x:c r="F3" s="13" t="str">
        <x:v>披露轮</x:v>
      </x:c>
      <x:c r="G3" s="13" t="str">
        <x:v>下一轮</x:v>
      </x:c>
      <x:c r="H3" s="13" t="str">
        <x:v>下一轮实际读取</x:v>
      </x:c>
      <x:c r="I3" s="13" t="str">
        <x:v>干净闭环（公式）</x:v>
      </x:c>
      <x:c r="J3" s="13" t="str">
        <x:v>最终状态</x:v>
      </x:c>
      <x:c r="K3" s="13" t="str">
        <x:v>证据摘要</x:v>
      </x:c>
    </x:row>
    <x:row r="4">
      <x:c r="A4" s="46" t="str">
        <x:v>PD-VISTA-01</x:v>
      </x:c>
      <x:c r="B4" s="18" t="n">
        <x:v>0</x:v>
      </x:c>
      <x:c r="C4" s="18" t="n">
        <x:v>0</x:v>
      </x:c>
      <x:c r="D4" s="18" t="n">
        <x:v>0</x:v>
      </x:c>
      <x:c r="E4" s="18" t="str">
        <x:v>—</x:v>
      </x:c>
      <x:c r="F4" s="18" t="n">
        <x:v>0</x:v>
      </x:c>
      <x:c r="G4" s="18" t="n">
        <x:v>0</x:v>
      </x:c>
      <x:c r="H4" s="18" t="n">
        <x:v>0</x:v>
      </x:c>
      <x:c r="I4" s="18" t="n">
        <x:f>IF(AND(D4&gt;0,H4=1,F4&gt;0,G4&gt;F4),1,0)</x:f>
        <x:v>0</x:v>
      </x:c>
      <x:c r="J4" s="17" t="str">
        <x:v>通过（无反馈闭环）</x:v>
      </x:c>
      <x:c r="K4" s="17" t="str">
        <x:v>首轮通过，未触发公开失败，不应披露模块。</x:v>
      </x:c>
    </x:row>
    <x:row r="5">
      <x:c r="A5" s="46" t="str">
        <x:v>PD-VISTA-02</x:v>
      </x:c>
      <x:c r="B5" s="18" t="n">
        <x:v>1</x:v>
      </x:c>
      <x:c r="C5" s="18" t="n">
        <x:v>1</x:v>
      </x:c>
      <x:c r="D5" s="18" t="n">
        <x:v>1</x:v>
      </x:c>
      <x:c r="E5" s="18" t="str">
        <x:v>d3-visualization</x:v>
      </x:c>
      <x:c r="F5" s="18" t="n">
        <x:v>1</x:v>
      </x:c>
      <x:c r="G5" s="18" t="n">
        <x:v>2</x:v>
      </x:c>
      <x:c r="H5" s="18" t="n">
        <x:v>1</x:v>
      </x:c>
      <x:c r="I5" s="18" t="n">
        <x:f>IF(AND(D5&gt;0,H5=1,F5&gt;0,G5&gt;F5),1,0)</x:f>
        <x:v>1</x:v>
      </x:c>
      <x:c r="J5" s="17" t="str">
        <x:v>通过（PD干净闭环）</x:v>
      </x:c>
      <x:c r="K5" s="17" t="str">
        <x:v>公开反馈类型：assertion_error, test_failure；route_reason：d3-visualization matched assertion_error；模块在下一轮访问=是</x:v>
      </x:c>
    </x:row>
    <x:row r="6">
      <x:c r="A6" s="46" t="str">
        <x:v>PD-VISTA-03</x:v>
      </x:c>
      <x:c r="B6" s="18" t="n">
        <x:v>0</x:v>
      </x:c>
      <x:c r="C6" s="18" t="n">
        <x:v>0</x:v>
      </x:c>
      <x:c r="D6" s="18" t="n">
        <x:v>0</x:v>
      </x:c>
      <x:c r="E6" s="18" t="str">
        <x:v>—</x:v>
      </x:c>
      <x:c r="F6" s="18" t="n">
        <x:v>0</x:v>
      </x:c>
      <x:c r="G6" s="18" t="n">
        <x:v>0</x:v>
      </x:c>
      <x:c r="H6" s="18" t="n">
        <x:v>0</x:v>
      </x:c>
      <x:c r="I6" s="18" t="n">
        <x:f>IF(AND(D6&gt;0,H6=1,F6&gt;0,G6&gt;F6),1,0)</x:f>
        <x:v>0</x:v>
      </x:c>
      <x:c r="J6" s="17" t="str">
        <x:v>通过（无反馈闭环）</x:v>
      </x:c>
      <x:c r="K6" s="17" t="str">
        <x:v>首轮通过，未触发公开失败，不应披露模块。</x:v>
      </x:c>
    </x:row>
  </x:sheetData>
  <x:mergeCells>
    <x:mergeCell ref="A1:K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8" hidden="0" customWidth="1"/>
    <x:col min="2" max="2" width="22" hidden="0" customWidth="1"/>
    <x:col min="3" max="3" width="20" hidden="0" customWidth="1"/>
    <x:col min="4" max="4" width="34" hidden="0" customWidth="1"/>
    <x:col min="5" max="5" width="56" hidden="0" customWidth="1"/>
  </x:cols>
  <x:sheetData>
    <x:row r="1" ht="30" customHeight="1">
      <x:c r="A1" s="4" t="str">
        <x:v>字段映射｜JSON 审计字段到工作簿</x:v>
      </x:c>
      <x:c r="B1" s="4" t="str">
        <x:v>字段映射｜JSON 审计字段到工作簿</x:v>
      </x:c>
      <x:c r="C1" s="4" t="str">
        <x:v>字段映射｜JSON 审计字段到工作簿</x:v>
      </x:c>
      <x:c r="D1" s="4" t="str">
        <x:v>字段映射｜JSON 审计字段到工作簿</x:v>
      </x:c>
      <x:c r="E1" s="4" t="str">
        <x:v>字段映射｜JSON 审计字段到工作簿</x:v>
      </x:c>
    </x:row>
    <x:row r="3" ht="30" customHeight="1">
      <x:c r="A3" s="13" t="str">
        <x:v>JSON / 来源字段</x:v>
      </x:c>
      <x:c r="B3" s="13" t="str">
        <x:v>工作表</x:v>
      </x:c>
      <x:c r="C3" s="13" t="str">
        <x:v>列/区域</x:v>
      </x:c>
      <x:c r="D3" s="13" t="str">
        <x:v>中文含义</x:v>
      </x:c>
      <x:c r="E3" s="13" t="str">
        <x:v>审计/公式说明</x:v>
      </x:c>
    </x:row>
    <x:row r="4">
      <x:c r="A4" s="46" t="str">
        <x:v>condition / replicate_id</x:v>
      </x:c>
      <x:c r="B4" s="17" t="str">
        <x:v>9组明细</x:v>
      </x:c>
      <x:c r="C4" s="17" t="str">
        <x:v>A:C</x:v>
      </x:c>
      <x:c r="D4" s="17" t="str">
        <x:v>逻辑组、条件、重复编号</x:v>
      </x:c>
      <x:c r="E4" s="17" t="str">
        <x:v>9 个逻辑单元的主键</x:v>
      </x:c>
    </x:row>
    <x:row r="5">
      <x:c r="A5" s="46" t="str">
        <x:v>status / stop_reason</x:v>
      </x:c>
      <x:c r="B5" s="17" t="str">
        <x:v>9组明细</x:v>
      </x:c>
      <x:c r="C5" s="17" t="str">
        <x:v>D / S</x:v>
      </x:c>
      <x:c r="D5" s="17" t="str">
        <x:v>原始状态与停止原因</x:v>
      </x:c>
      <x:c r="E5" s="17" t="str">
        <x:v>quarantined_* 从正式统计剔除</x:v>
      </x:c>
    </x:row>
    <x:row r="6">
      <x:c r="A6" s="46" t="str">
        <x:v>included_in_formal_stats</x:v>
      </x:c>
      <x:c r="B6" s="17" t="str">
        <x:v>9组明细</x:v>
      </x:c>
      <x:c r="C6" s="17" t="str">
        <x:v>E</x:v>
      </x:c>
      <x:c r="D6" s="17" t="str">
        <x:v>是否纳入正式比较</x:v>
      </x:c>
      <x:c r="E6" s="17" t="str">
        <x:v>1=纳入；0=隔离</x:v>
      </x:c>
    </x:row>
    <x:row r="7">
      <x:c r="A7" s="46" t="str">
        <x:v>final_verifier_pass</x:v>
      </x:c>
      <x:c r="B7" s="17" t="str">
        <x:v>9组明细</x:v>
      </x:c>
      <x:c r="C7" s="17" t="str">
        <x:v>F</x:v>
      </x:c>
      <x:c r="D7" s="17" t="str">
        <x:v>最终公开 Verifier 是否通过</x:v>
      </x:c>
      <x:c r="E7" s="17" t="str">
        <x:v>结果 JSON 原始字段</x:v>
      </x:c>
    </x:row>
    <x:row r="8">
      <x:c r="A8" s="46" t="str">
        <x:v>turns.length</x:v>
      </x:c>
      <x:c r="B8" s="17" t="str">
        <x:v>9组明细</x:v>
      </x:c>
      <x:c r="C8" s="17" t="str">
        <x:v>G</x:v>
      </x:c>
      <x:c r="D8" s="17" t="str">
        <x:v>模型轮次</x:v>
      </x:c>
      <x:c r="E8" s="17" t="str">
        <x:v>逐组审计</x:v>
      </x:c>
    </x:row>
    <x:row r="9">
      <x:c r="A9" s="46" t="str">
        <x:v>usage.requests / tool_uses</x:v>
      </x:c>
      <x:c r="B9" s="17" t="str">
        <x:v>9组明细</x:v>
      </x:c>
      <x:c r="C9" s="17" t="str">
        <x:v>H:I</x:v>
      </x:c>
      <x:c r="D9" s="17" t="str">
        <x:v>请求数与工具调用</x:v>
      </x:c>
      <x:c r="E9" s="17" t="str">
        <x:v>来自逐轮 event_summary 汇总</x:v>
      </x:c>
    </x:row>
    <x:row r="10">
      <x:c r="A10" s="46" t="str">
        <x:v>usage.input_tokens / output_tokens</x:v>
      </x:c>
      <x:c r="B10" s="17" t="str">
        <x:v>9组明细</x:v>
      </x:c>
      <x:c r="C10" s="17" t="str">
        <x:v>J:K</x:v>
      </x:c>
      <x:c r="D10" s="17" t="str">
        <x:v>输入/输出 Token</x:v>
      </x:c>
      <x:c r="E10" s="17" t="str">
        <x:v>来自逐轮 event_summary 汇总</x:v>
      </x:c>
    </x:row>
    <x:row r="11">
      <x:c r="A11" s="46" t="str">
        <x:v>usage.cache_read_tokens</x:v>
      </x:c>
      <x:c r="B11" s="17" t="str">
        <x:v>9组明细</x:v>
      </x:c>
      <x:c r="C11" s="17" t="str">
        <x:v>L</x:v>
      </x:c>
      <x:c r="D11" s="17" t="str">
        <x:v>cache-read Token</x:v>
      </x:c>
      <x:c r="E11" s="17" t="str">
        <x:v>来自逐轮 event_summary 汇总</x:v>
      </x:c>
    </x:row>
    <x:row r="12">
      <x:c r="A12" s="46" t="str">
        <x:v>J + K</x:v>
      </x:c>
      <x:c r="B12" s="17" t="str">
        <x:v>9组明细</x:v>
      </x:c>
      <x:c r="C12" s="17" t="str">
        <x:v>M</x:v>
      </x:c>
      <x:c r="D12" s="17" t="str">
        <x:v>总Token</x:v>
      </x:c>
      <x:c r="E12" s="17" t="str">
        <x:v>可审计公式；不是手工汇总</x:v>
      </x:c>
    </x:row>
    <x:row r="13">
      <x:c r="A13" s="46" t="str">
        <x:v>opencode_db.recorded_cost</x:v>
      </x:c>
      <x:c r="B13" s="17" t="str">
        <x:v>9组明细</x:v>
      </x:c>
      <x:c r="C13" s="17" t="str">
        <x:v>N</x:v>
      </x:c>
      <x:c r="D13" s="17" t="str">
        <x:v>OpenCode 记录费用</x:v>
      </x:c>
      <x:c r="E13" s="17" t="str">
        <x:v>逐库只读 SQLite 查询</x:v>
      </x:c>
    </x:row>
    <x:row r="14">
      <x:c r="A14" s="46" t="str">
        <x:v>opencode_db.provider_ids / model_ids</x:v>
      </x:c>
      <x:c r="B14" s="17" t="str">
        <x:v>9组明细</x:v>
      </x:c>
      <x:c r="C14" s="17" t="str">
        <x:v>O:P</x:v>
      </x:c>
      <x:c r="D14" s="17" t="str">
        <x:v>实际 Provider/Model</x:v>
      </x:c>
      <x:c r="E14" s="17" t="str">
        <x:v>审计确认 minimax-cn / MiniMax-M3</x:v>
      </x:c>
    </x:row>
    <x:row r="15">
      <x:c r="A15" s="46" t="str">
        <x:v>session_id</x:v>
      </x:c>
      <x:c r="B15" s="17" t="str">
        <x:v>9组明细</x:v>
      </x:c>
      <x:c r="C15" s="17" t="str">
        <x:v>Q</x:v>
      </x:c>
      <x:c r="D15" s="17" t="str">
        <x:v>独立 OpenCode session</x:v>
      </x:c>
      <x:c r="E15" s="17" t="str">
        <x:v>9 个最终逻辑结果唯一</x:v>
      </x:c>
    </x:row>
    <x:row r="16">
      <x:c r="A16" s="46" t="str">
        <x:v>final_output_files</x:v>
      </x:c>
      <x:c r="B16" s="17" t="str">
        <x:v>9组明细</x:v>
      </x:c>
      <x:c r="C16" s="17" t="str">
        <x:v>R</x:v>
      </x:c>
      <x:c r="D16" s="17" t="str">
        <x:v>最终落盘文件数</x:v>
      </x:c>
      <x:c r="E16" s="17" t="str">
        <x:v>API 隔离组可为 0</x:v>
      </x:c>
    </x:row>
    <x:row r="17">
      <x:c r="A17" s="46" t="str">
        <x:v>vista_metrics.trigger_opportunities</x:v>
      </x:c>
      <x:c r="B17" s="17" t="str">
        <x:v>9组明细 / PD披露证据</x:v>
      </x:c>
      <x:c r="C17" s="17" t="str">
        <x:v>T / B</x:v>
      </x:c>
      <x:c r="D17" s="17" t="str">
        <x:v>公开失败触发机会</x:v>
      </x:c>
      <x:c r="E17" s="17" t="str">
        <x:v>PD 路由审计</x:v>
      </x:c>
    </x:row>
    <x:row r="18">
      <x:c r="A18" s="46" t="str">
        <x:v>disclosed_modules</x:v>
      </x:c>
      <x:c r="B18" s="17" t="str">
        <x:v>9组明细</x:v>
      </x:c>
      <x:c r="C18" s="17" t="str">
        <x:v>U</x:v>
      </x:c>
      <x:c r="D18" s="17" t="str">
        <x:v>披露模块列表</x:v>
      </x:c>
      <x:c r="E18" s="17" t="str">
        <x:v>最多单轮一个相关模块</x:v>
      </x:c>
    </x:row>
    <x:row r="19">
      <x:c r="A19" s="46" t="str">
        <x:v>vista_metrics.next_round_module_access</x:v>
      </x:c>
      <x:c r="B19" s="17" t="str">
        <x:v>9组明细</x:v>
      </x:c>
      <x:c r="C19" s="17" t="str">
        <x:v>V</x:v>
      </x:c>
      <x:c r="D19" s="17" t="str">
        <x:v>下一轮实际读取次数</x:v>
      </x:c>
      <x:c r="E19" s="17" t="str">
        <x:v>PD 闭环证据</x:v>
      </x:c>
    </x:row>
    <x:row r="20">
      <x:c r="A20" s="46" t="str">
        <x:v>vista_metrics.clean_complete_closure</x:v>
      </x:c>
      <x:c r="B20" s="17" t="str">
        <x:v>9组明细 / PD披露证据</x:v>
      </x:c>
      <x:c r="C20" s="17" t="str">
        <x:v>W / I</x:v>
      </x:c>
      <x:c r="D20" s="17" t="str">
        <x:v>干净闭环</x:v>
      </x:c>
      <x:c r="E20" s="17" t="str">
        <x:v>PD披露证据页用公式重算</x:v>
      </x:c>
    </x:row>
    <x:row r="21">
      <x:c r="A21" s="46" t="str">
        <x:v>group-summary.json</x:v>
      </x:c>
      <x:c r="B21" s="17" t="str">
        <x:v>实验总览</x:v>
      </x:c>
      <x:c r="C21" s="17" t="str">
        <x:v>A3:J25</x:v>
      </x:c>
      <x:c r="D21" s="17" t="str">
        <x:v>批次、矩阵、排除与汇总</x:v>
      </x:c>
      <x:c r="E21" s="17" t="str">
        <x:v>公式链接到 9组明细</x:v>
      </x:c>
    </x:row>
    <x:row r="22">
      <x:c r="A22" s="46" t="str">
        <x:v>posthoc-audit.json</x:v>
      </x:c>
      <x:c r="B22" s="17" t="str">
        <x:v>Token与成本 / PD披露证据</x:v>
      </x:c>
      <x:c r="C22" s="17" t="str">
        <x:v>A5:J9 / A3:K6</x:v>
      </x:c>
      <x:c r="D22" s="17" t="str">
        <x:v>DB、Token、费用、披露证据</x:v>
      </x:c>
      <x:c r="E22" s="17" t="str">
        <x:v>正式统计与隔离项分层</x:v>
      </x:c>
    </x:row>
    <x:row r="23">
      <x:c r="A23" s="46" t="str">
        <x:v>diagnostic_batches / excluded_trial_attempts</x:v>
      </x:c>
      <x:c r="B23" s="17" t="str">
        <x:v>实验总览 / 方法与流程</x:v>
      </x:c>
      <x:c r="C23" s="17" t="str">
        <x:v>A18:J25</x:v>
      </x:c>
      <x:c r="D23" s="17" t="str">
        <x:v>诊断批次与隔离尝试</x:v>
      </x:c>
      <x:c r="E23" s="17" t="str">
        <x:v>明确排除，不进入正式比较</x:v>
      </x:c>
    </x:row>
  </x:sheetData>
  <x:mergeCells>
    <x:mergeCell ref="A1:E1"/>
  </x:mergeCells>
  <x:pageMargins left="0.7" right="0.7" top="0.75" bottom="0.75" header="0.3" footer="0.3"/>
</x:worksheet>
</file>