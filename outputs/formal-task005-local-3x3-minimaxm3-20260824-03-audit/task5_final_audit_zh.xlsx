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fda671cd6b4eff" /></Relationships>
</file>

<file path=xl/workbook.xml><?xml version="1.0" encoding="utf-8"?>
<x:workbook xmlns:x="http://schemas.openxmlformats.org/spreadsheetml/2006/main">
  <x:sheets>
    <x:sheet xmlns:r="http://schemas.openxmlformats.org/officeDocument/2006/relationships" name="实验总览" sheetId="1" r:id="R395ec1dce38a47aa"/>
    <x:sheet xmlns:r="http://schemas.openxmlformats.org/officeDocument/2006/relationships" name="9组明细" sheetId="2" r:id="R2b3a15e7b2d1473c"/>
    <x:sheet xmlns:r="http://schemas.openxmlformats.org/officeDocument/2006/relationships" name="Token与成本" sheetId="3" r:id="Rdcf5bccb07fe4642"/>
    <x:sheet xmlns:r="http://schemas.openxmlformats.org/officeDocument/2006/relationships" name="方法与流程" sheetId="4" r:id="R9180745711bb45a7"/>
    <x:sheet xmlns:r="http://schemas.openxmlformats.org/officeDocument/2006/relationships" name="条件提示词" sheetId="5" r:id="Rabfd96c76f894c60"/>
    <x:sheet xmlns:r="http://schemas.openxmlformats.org/officeDocument/2006/relationships" name="PD-VISTA披露证据" sheetId="6" r:id="R2a012412cb0c4a74"/>
    <x:sheet xmlns:r="http://schemas.openxmlformats.org/officeDocument/2006/relationships" name="排除与Readiness" sheetId="7" r:id="Rb4d40ef6aacd4015"/>
    <x:sheet xmlns:r="http://schemas.openxmlformats.org/officeDocument/2006/relationships" name="字段映射" sheetId="8" r:id="Ra7efe516850a4395"/>
    <x:sheet xmlns:r="http://schemas.openxmlformats.org/officeDocument/2006/relationships" name="公式QC" sheetId="9" r:id="Rf8bb230f3504420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0000"/>
    <x:numFmt numFmtId="202" formatCode="0.0%"/>
  </x:numFmts>
  <x:fonts count="4">
    <x:font>
      <x:sz val="11"/>
      <x:name val="Carlito"/>
    </x:font>
    <x:font>
      <x:b/>
      <x:sz val="11"/>
      <x:color rgb="FFFFFFFF"/>
      <x:name val="Carlito"/>
    </x:font>
    <x:font>
      <x:b/>
      <x:sz val="11"/>
      <x:color rgb="FF25364A"/>
      <x:name val="Carlito"/>
    </x:font>
    <x:font>
      <x:sz val="11"/>
      <x:color rgb="FF25364A"/>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2F75B5"/>
      </x:patternFill>
    </x:fill>
    <x:fill>
      <x:patternFill patternType="solid">
        <x:fgColor rgb="FFF2F2F2"/>
      </x:patternFill>
    </x:fill>
  </x:fills>
  <x:borders count="2">
    <x:border/>
    <x:border>
      <x:left style="thin">
        <x:color rgb="FFB8CCE4"/>
      </x:left>
      <x:right style="thin">
        <x:color rgb="FFB8CCE4"/>
      </x:right>
      <x:top style="thin">
        <x:color rgb="FFB8CCE4"/>
      </x:top>
      <x:bottom style="thin">
        <x:color rgb="FFB8CCE4"/>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xf>
    <x:xf numFmtId="0" fontId="3"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3" fillId="0" borderId="1" xfId="0" applyNumberFormat="1" applyFont="1" applyFill="1" applyBorder="1" applyAlignment="1">
      <x:alignment wrapText="1"/>
    </x:xf>
    <x:xf numFmtId="201" fontId="3" fillId="0"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3" fillId="0" borderId="1" xfId="0" applyNumberFormat="1" applyFont="1" applyFill="1" applyBorder="1" applyAlignment="1">
      <x:alignment wrapText="0"/>
    </x:xf>
    <x:xf numFmtId="202" fontId="3" fillId="0" borderId="1" xfId="0" applyNumberFormat="1" applyFont="1" applyFill="1" applyBorder="1" applyAlignment="1">
      <x:alignment wrapText="0"/>
    </x:xf>
    <x:xf numFmtId="200" fontId="3" fillId="0" borderId="1" xfId="0" applyNumberFormat="1" applyFont="1" applyFill="1" applyBorder="1" applyAlignment="1">
      <x:alignment wrapText="0"/>
    </x:xf>
    <x:xf numFmtId="201" fontId="3" fillId="0" borderId="1" xfId="0" applyNumberFormat="1" applyFont="1" applyFill="1" applyBorder="1" applyAlignment="1">
      <x:alignment wrapText="0"/>
    </x:xf>
    <x:xf numFmtId="0" fontId="3" fillId="6" borderId="1" xfId="0" applyNumberFormat="1" applyFont="1" applyFill="1" applyBorder="1" applyAlignment="1">
      <x:alignment wrapText="0"/>
    </x:xf>
    <x:xf numFmtId="0" fontId="2" fillId="6" borderId="1" xfId="0" applyNumberFormat="1" applyFont="1" applyFill="1" applyBorder="1" applyAlignment="1">
      <x:alignment wrapText="0"/>
    </x:xf>
    <x:xf numFmtId="0" fontId="3" fillId="4" borderId="1" xfId="0" applyNumberFormat="1" applyFont="1" applyFill="1" applyBorder="1" applyAlignment="1">
      <x:alignment wrapText="0"/>
    </x:xf>
    <x:xf numFmtId="0" fontId="3"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3476d9a223433d" /><Relationship Type="http://schemas.openxmlformats.org/officeDocument/2006/relationships/theme" Target="/xl/theme/theme1.xml" Id="R02c946dcd4804fbd" /><Relationship Type="http://schemas.microsoft.com/office/2022/11/relationships/FeaturePropertyBag" Target="/xl/featurePropertyBag/featurePropertyBag.xml" Id="R3b9af856cf674f49" /><Relationship Type="http://schemas.openxmlformats.org/officeDocument/2006/relationships/sharedStrings" Target="/xl/sharedStrings.xml" Id="Rfe352ae465c24fc6" /><Relationship Type="http://schemas.openxmlformats.org/officeDocument/2006/relationships/worksheet" Target="/xl/worksheets/sheet1.xml" Id="R395ec1dce38a47aa" /><Relationship Type="http://schemas.openxmlformats.org/officeDocument/2006/relationships/worksheet" Target="/xl/worksheets/sheet2.xml" Id="R2b3a15e7b2d1473c" /><Relationship Type="http://schemas.openxmlformats.org/officeDocument/2006/relationships/worksheet" Target="/xl/worksheets/sheet3.xml" Id="Rdcf5bccb07fe4642" /><Relationship Type="http://schemas.openxmlformats.org/officeDocument/2006/relationships/worksheet" Target="/xl/worksheets/sheet4.xml" Id="R9180745711bb45a7" /><Relationship Type="http://schemas.openxmlformats.org/officeDocument/2006/relationships/worksheet" Target="/xl/worksheets/sheet5.xml" Id="Rabfd96c76f894c60" /><Relationship Type="http://schemas.openxmlformats.org/officeDocument/2006/relationships/worksheet" Target="/xl/worksheets/sheet6.xml" Id="R2a012412cb0c4a74" /><Relationship Type="http://schemas.openxmlformats.org/officeDocument/2006/relationships/worksheet" Target="/xl/worksheets/sheet7.xml" Id="Rb4d40ef6aacd4015" /><Relationship Type="http://schemas.openxmlformats.org/officeDocument/2006/relationships/worksheet" Target="/xl/worksheets/sheet8.xml" Id="Ra7efe516850a4395" /><Relationship Type="http://schemas.openxmlformats.org/officeDocument/2006/relationships/worksheet" Target="/xl/worksheets/sheet9.xml" Id="Rf8bb230f350442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Task5ConditionSummary" displayName="Task5ConditionSummary" ref="A15:H18" headerRowCount="1" totalsRowCount="0" totalsRowShown="0">
  <x:tableColumns count="8">
    <x:tableColumn id="1" name="条件"/>
    <x:tableColumn id="2" name="试验数"/>
    <x:tableColumn id="3" name="通过数"/>
    <x:tableColumn id="4" name="通过率"/>
    <x:tableColumn id="5" name="总轮次"/>
    <x:tableColumn id="6" name="输入+输出Token"/>
    <x:tableColumn id="7" name="缓存读取Token"/>
    <x:tableColumn id="8" name="DB记录费用"/>
  </x:tableColumns>
  <x:tableStyleInfo name="TableStyleMedium2" showFirstColumn="0" showLastColumn="0" showRowStripes="1" showColumnStripes="0"/>
</x:table>
</file>

<file path=xl/tables/table2.xml><?xml version="1.0" encoding="utf-8"?>
<x:table xmlns:x="http://schemas.openxmlformats.org/spreadsheetml/2006/main" id="1" name="Task5TrialDetail" displayName="Task5TrialDetail" ref="A4:AB13" headerRowCount="1" totalsRowCount="0" totalsRowShown="0">
  <x:tableColumns count="28">
    <x:tableColumn id="1" name="组ID"/>
    <x:tableColumn id="2" name="条件"/>
    <x:tableColumn id="3" name="重复"/>
    <x:tableColumn id="4" name="状态"/>
    <x:tableColumn id="5" name="最终Verifier通过"/>
    <x:tableColumn id="6" name="总轮次"/>
    <x:tableColumn id="7" name="模型收尾超时"/>
    <x:tableColumn id="8" name="请求数"/>
    <x:tableColumn id="9" name="工具调用"/>
    <x:tableColumn id="10" name="输入Token"/>
    <x:tableColumn id="11" name="输出Token"/>
    <x:tableColumn id="12" name="缓存读取Token"/>
    <x:tableColumn id="13" name="输入+输出Token"/>
    <x:tableColumn id="14" name="DB记录费用"/>
    <x:tableColumn id="15" name="Provider"/>
    <x:tableColumn id="16" name="Model"/>
    <x:tableColumn id="17" name="Session ID"/>
    <x:tableColumn id="18" name="初始模块"/>
    <x:tableColumn id="19" name="披露模块"/>
    <x:tableColumn id="20" name="下一轮实际访问"/>
    <x:tableColumn id="21" name="触发机会"/>
    <x:tableColumn id="22" name="可路由反馈"/>
    <x:tableColumn id="23" name="成功披露"/>
    <x:tableColumn id="24" name="下一轮模块访问"/>
    <x:tableColumn id="25" name="干净闭环"/>
    <x:tableColumn id="26" name="目录分布"/>
    <x:tableColumn id="27" name="结果路径"/>
    <x:tableColumn id="28" name="工作区"/>
  </x:tableColumns>
  <x:tableStyleInfo name="TableStyleMedium2" showFirstColumn="0" showLastColumn="0" showRowStripes="1" showColumnStripes="0"/>
</x:table>
</file>

<file path=xl/tables/table3.xml><?xml version="1.0" encoding="utf-8"?>
<x:table xmlns:x="http://schemas.openxmlformats.org/spreadsheetml/2006/main" id="2" name="Task5UsageDetail" displayName="Task5UsageDetail" ref="A4:K13" headerRowCount="1" totalsRowCount="0" totalsRowShown="0">
  <x:tableColumns count="11">
    <x:tableColumn id="1" name="组ID"/>
    <x:tableColumn id="2" name="条件"/>
    <x:tableColumn id="3" name="重复"/>
    <x:tableColumn id="4" name="请求数"/>
    <x:tableColumn id="5" name="工具调用"/>
    <x:tableColumn id="6" name="输入Token"/>
    <x:tableColumn id="7" name="输出Token"/>
    <x:tableColumn id="8" name="缓存读取Token"/>
    <x:tableColumn id="9" name="输入+输出Token"/>
    <x:tableColumn id="10" name="DB记录费用"/>
    <x:tableColumn id="11" name="Session ID"/>
  </x:tableColumns>
  <x:tableStyleInfo name="TableStyleMedium2" showFirstColumn="0" showLastColumn="0" showRowStripes="1" showColumnStripes="0"/>
</x:table>
</file>

<file path=xl/tables/table4.xml><?xml version="1.0" encoding="utf-8"?>
<x:table xmlns:x="http://schemas.openxmlformats.org/spreadsheetml/2006/main" id="4" name="Task5PDVistaEvidence" displayName="Task5PDVistaEvidence" ref="A4:J7" headerRowCount="1" totalsRowCount="0" totalsRowShown="0">
  <x:tableColumns count="10">
    <x:tableColumn id="1" name="组ID"/>
    <x:tableColumn id="2" name="重复"/>
    <x:tableColumn id="3" name="首轮结果"/>
    <x:tableColumn id="4" name="触发机会"/>
    <x:tableColumn id="5" name="可路由反馈"/>
    <x:tableColumn id="6" name="披露模块"/>
    <x:tableColumn id="7" name="下一轮实际访问"/>
    <x:tableColumn id="8" name="干净闭环"/>
    <x:tableColumn id="9" name="最终结果"/>
    <x:tableColumn id="10" name="逐轮证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07ae7c36cf4f1d" /></Relationships>
</file>

<file path=xl/worksheets/_rels/sheet2.xml.rels>&#65279;<?xml version="1.0" encoding="utf-8"?><Relationships xmlns="http://schemas.openxmlformats.org/package/2006/relationships"><Relationship Type="http://schemas.openxmlformats.org/officeDocument/2006/relationships/table" Target="/xl/tables/table2.xml" Id="Re95fe587ff744ab2" /></Relationships>
</file>

<file path=xl/worksheets/_rels/sheet3.xml.rels>&#65279;<?xml version="1.0" encoding="utf-8"?><Relationships xmlns="http://schemas.openxmlformats.org/package/2006/relationships"><Relationship Type="http://schemas.openxmlformats.org/officeDocument/2006/relationships/table" Target="/xl/tables/table3.xml" Id="R167ecd5cf08a4354" /></Relationships>
</file>

<file path=xl/worksheets/_rels/sheet6.xml.rels>&#65279;<?xml version="1.0" encoding="utf-8"?><Relationships xmlns="http://schemas.openxmlformats.org/package/2006/relationships"><Relationship Type="http://schemas.openxmlformats.org/officeDocument/2006/relationships/table" Target="/xl/tables/table4.xml" Id="Rf80bebdb00444c03"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4" hidden="0" customWidth="1"/>
    <x:col min="4" max="4" width="14" hidden="0" customWidth="1"/>
    <x:col min="5" max="5" width="14" hidden="0" customWidth="1"/>
    <x:col min="6" max="6" width="18" hidden="0" customWidth="1"/>
    <x:col min="7" max="7" width="18" hidden="0" customWidth="1"/>
    <x:col min="8" max="8" width="18" hidden="0" customWidth="1"/>
  </x:cols>
  <x:sheetData>
    <x:row r="1" ht="28" customHeight="1">
      <x:c r="A1" s="3" t="str">
        <x:v>Vista task5 · 三条件 × 三重复本机 OpenCode 审计（正式批次完成）</x:v>
      </x:c>
      <x:c r="B1" s="3" t="str">
        <x:v>Vista task5 · 三条件 × 三重复本机 OpenCode 审计（正式批次完成）</x:v>
      </x:c>
      <x:c r="C1" s="3" t="str">
        <x:v>Vista task5 · 三条件 × 三重复本机 OpenCode 审计（正式批次完成）</x:v>
      </x:c>
      <x:c r="D1" s="3" t="str">
        <x:v>Vista task5 · 三条件 × 三重复本机 OpenCode 审计（正式批次完成）</x:v>
      </x:c>
      <x:c r="E1" s="3" t="str">
        <x:v>Vista task5 · 三条件 × 三重复本机 OpenCode 审计（正式批次完成）</x:v>
      </x:c>
      <x:c r="F1" s="3" t="str">
        <x:v>Vista task5 · 三条件 × 三重复本机 OpenCode 审计（正式批次完成）</x:v>
      </x:c>
      <x:c r="G1" s="3" t="str">
        <x:v>Vista task5 · 三条件 × 三重复本机 OpenCode 审计（正式批次完成）</x:v>
      </x:c>
      <x:c r="H1" s="3" t="str">
        <x:v>Vista task5 · 三条件 × 三重复本机 OpenCode 审计（正式批次完成）</x:v>
      </x:c>
    </x:row>
    <x:row r="3">
      <x:c r="A3" s="25" t="str">
        <x:v>正式批次</x:v>
      </x:c>
      <x:c r="B3" s="20" t="str">
        <x:v>formal-task005-local-3x3-minimaxm3-20260824-03</x:v>
      </x:c>
    </x:row>
    <x:row r="4">
      <x:c r="A4" s="25" t="str">
        <x:v>任务</x:v>
      </x:c>
      <x:c r="B4" s="20" t="str">
        <x:v>task-005 · organize-messy-files 文件归类</x:v>
      </x:c>
    </x:row>
    <x:row r="5">
      <x:c r="A5" s="25" t="str">
        <x:v>审计状态</x:v>
      </x:c>
      <x:c r="B5" s="26" t="str">
        <x:f>IF(COUNTA('9组明细'!$A$5:$A$13)=9,"通过","需检查")</x:f>
        <x:v>通过</x:v>
      </x:c>
    </x:row>
    <x:row r="6">
      <x:c r="A6" s="25" t="str">
        <x:v>完成试验</x:v>
      </x:c>
      <x:c r="B6" s="20" t="n">
        <x:f>COUNTA('9组明细'!$A$5:$A$13)</x:f>
        <x:v>9</x:v>
      </x:c>
    </x:row>
    <x:row r="7">
      <x:c r="A7" s="25" t="str">
        <x:v>独立会话</x:v>
      </x:c>
      <x:c r="B7" s="20" t="n">
        <x:f>COUNTA('9组明细'!$Q$5:$Q$13)</x:f>
        <x:v>9</x:v>
      </x:c>
    </x:row>
    <x:row r="8">
      <x:c r="A8" s="25" t="str">
        <x:v>最终Verifier</x:v>
      </x:c>
      <x:c r="B8" s="20" t="str">
        <x:f>SUM('Token与成本'!$C$18:$C$20)&amp;"/9 组通过"</x:f>
        <x:v>9/9 组通过</x:v>
      </x:c>
    </x:row>
    <x:row r="9">
      <x:c r="A9" s="25" t="str">
        <x:v>实际提供商 / 模型</x:v>
      </x:c>
      <x:c r="B9" s="20" t="str">
        <x:v>minimax-cn / MiniMax-M3</x:v>
      </x:c>
    </x:row>
    <x:row r="10">
      <x:c r="A10" s="25" t="str">
        <x:v>OpenCode 记录费用</x:v>
      </x:c>
      <x:c r="B10" s="23" t="n">
        <x:f>SUM('9组明细'!$N$5:$N$13)</x:f>
        <x:v>1.407225</x:v>
      </x:c>
    </x:row>
    <x:row r="11">
      <x:c r="A11" s="25" t="str">
        <x:v>诊断/限流批次</x:v>
      </x:c>
      <x:c r="B11" s="20" t="n">
        <x:f>4</x:f>
        <x:v>4</x:v>
      </x:c>
    </x:row>
    <x:row r="14" ht="22" customHeight="1">
      <x:c r="A14" s="19" t="str">
        <x:v>三种条件结果总览</x:v>
      </x:c>
      <x:c r="B14" s="19" t="str">
        <x:v>三种条件结果总览</x:v>
      </x:c>
      <x:c r="C14" s="19" t="str">
        <x:v>三种条件结果总览</x:v>
      </x:c>
      <x:c r="D14" s="19" t="str">
        <x:v>三种条件结果总览</x:v>
      </x:c>
      <x:c r="E14" s="19" t="str">
        <x:v>三种条件结果总览</x:v>
      </x:c>
      <x:c r="F14" s="19" t="str">
        <x:v>三种条件结果总览</x:v>
      </x:c>
      <x:c r="G14" s="19" t="str">
        <x:v>三种条件结果总览</x:v>
      </x:c>
      <x:c r="H14" s="19" t="str">
        <x:v>三种条件结果总览</x:v>
      </x:c>
    </x:row>
    <x:row r="15">
      <x:c r="A15" s="7" t="str">
        <x:v>条件</x:v>
      </x:c>
      <x:c r="B15" s="7" t="str">
        <x:v>试验数</x:v>
      </x:c>
      <x:c r="C15" s="7" t="str">
        <x:v>通过数</x:v>
      </x:c>
      <x:c r="D15" s="7" t="str">
        <x:v>通过率</x:v>
      </x:c>
      <x:c r="E15" s="7" t="str">
        <x:v>总轮次</x:v>
      </x:c>
      <x:c r="F15" s="7" t="str">
        <x:v>输入+输出Token</x:v>
      </x:c>
      <x:c r="G15" s="7" t="str">
        <x:v>缓存读取Token</x:v>
      </x:c>
      <x:c r="H15" s="7" t="str">
        <x:v>DB记录费用</x:v>
      </x:c>
    </x:row>
    <x:row r="16">
      <x:c r="A16" s="20" t="str">
        <x:v>noskill</x:v>
      </x:c>
      <x:c r="B16" s="20" t="n">
        <x:f>'Token与成本'!B18</x:f>
        <x:v>3</x:v>
      </x:c>
      <x:c r="C16" s="20" t="n">
        <x:f>'Token与成本'!C18</x:f>
        <x:v>3</x:v>
      </x:c>
      <x:c r="D16" s="21" t="n">
        <x:f>'Token与成本'!D18</x:f>
        <x:v>1</x:v>
      </x:c>
      <x:c r="E16" s="22" t="n">
        <x:f>SUMIF('9组明细'!$B$5:$B$13,A16,'9组明细'!$F$5:$F$13)</x:f>
        <x:v>3</x:v>
      </x:c>
      <x:c r="F16" s="22" t="n">
        <x:f>'Token与成本'!J18</x:f>
        <x:v>275738</x:v>
      </x:c>
      <x:c r="G16" s="22" t="n">
        <x:f>'Token与成本'!I18</x:f>
        <x:v>4091671</x:v>
      </x:c>
      <x:c r="H16" s="23" t="n">
        <x:f>'Token与成本'!K18</x:f>
        <x:v>0.36363935999999997</x:v>
      </x:c>
    </x:row>
    <x:row r="17">
      <x:c r="A17" s="20" t="str">
        <x:v>native</x:v>
      </x:c>
      <x:c r="B17" s="20" t="n">
        <x:f>'Token与成本'!B19</x:f>
        <x:v>3</x:v>
      </x:c>
      <x:c r="C17" s="20" t="n">
        <x:f>'Token与成本'!C19</x:f>
        <x:v>3</x:v>
      </x:c>
      <x:c r="D17" s="21" t="n">
        <x:f>'Token与成本'!D19</x:f>
        <x:v>1</x:v>
      </x:c>
      <x:c r="E17" s="22" t="n">
        <x:f>SUMIF('9组明细'!$B$5:$B$13,A17,'9组明细'!$F$5:$F$13)</x:f>
        <x:v>4</x:v>
      </x:c>
      <x:c r="F17" s="22" t="n">
        <x:f>'Token与成本'!J19</x:f>
        <x:v>695623</x:v>
      </x:c>
      <x:c r="G17" s="22" t="n">
        <x:f>'Token与成本'!I19</x:f>
        <x:v>7086005</x:v>
      </x:c>
      <x:c r="H17" s="23" t="n">
        <x:f>'Token与成本'!K19</x:f>
        <x:v>0.6698913</x:v>
      </x:c>
    </x:row>
    <x:row r="18">
      <x:c r="A18" s="20" t="str">
        <x:v>pd-vista</x:v>
      </x:c>
      <x:c r="B18" s="20" t="n">
        <x:f>'Token与成本'!B20</x:f>
        <x:v>3</x:v>
      </x:c>
      <x:c r="C18" s="20" t="n">
        <x:f>'Token与成本'!C20</x:f>
        <x:v>3</x:v>
      </x:c>
      <x:c r="D18" s="21" t="n">
        <x:f>'Token与成本'!D20</x:f>
        <x:v>1</x:v>
      </x:c>
      <x:c r="E18" s="22" t="n">
        <x:f>SUMIF('9组明细'!$B$5:$B$13,A18,'9组明细'!$F$5:$F$13)</x:f>
        <x:v>5</x:v>
      </x:c>
      <x:c r="F18" s="22" t="n">
        <x:f>'Token与成本'!J20</x:f>
        <x:v>340708</x:v>
      </x:c>
      <x:c r="G18" s="22" t="n">
        <x:f>'Token与成本'!I20</x:f>
        <x:v>3764859</x:v>
      </x:c>
      <x:c r="H18" s="23" t="n">
        <x:f>'Token与成本'!K20</x:f>
        <x:v>0.37369434</x:v>
      </x:c>
    </x:row>
    <x:row r="21" ht="22" customHeight="1">
      <x:c r="A21" s="19" t="str">
        <x:v>关键完整性检查</x:v>
      </x:c>
      <x:c r="B21" s="19" t="str">
        <x:v>关键完整性检查</x:v>
      </x:c>
      <x:c r="C21" s="19" t="str">
        <x:v>关键完整性检查</x:v>
      </x:c>
      <x:c r="D21" s="19" t="str">
        <x:v>关键完整性检查</x:v>
      </x:c>
      <x:c r="E21" s="19" t="str">
        <x:v>关键完整性检查</x:v>
      </x:c>
      <x:c r="F21" s="19" t="str">
        <x:v>关键完整性检查</x:v>
      </x:c>
      <x:c r="G21" s="19" t="str">
        <x:v>关键完整性检查</x:v>
      </x:c>
      <x:c r="H21" s="19" t="str">
        <x:v>关键完整性检查</x:v>
      </x:c>
    </x:row>
    <x:row r="22">
      <x:c r="A22" s="7" t="str">
        <x:v>检查项</x:v>
      </x:c>
      <x:c r="B22" s="7" t="str">
        <x:v>结果</x:v>
      </x:c>
    </x:row>
    <x:row r="23">
      <x:c r="A23" s="25" t="str">
        <x:v>9 个结果文件</x:v>
      </x:c>
      <x:c r="B23" s="26" t="str">
        <x:f>IF(COUNTA('9组明细'!$A$5:$A$13)=9,"通过","需检查")</x:f>
        <x:v>通过</x:v>
      </x:c>
    </x:row>
    <x:row r="24">
      <x:c r="A24" s="25" t="str">
        <x:v>9 个唯一 session</x:v>
      </x:c>
      <x:c r="B24" s="26" t="str">
        <x:f>IF(COUNTA('9组明细'!$Q$5:$Q$13)=9,"通过","需检查")</x:f>
        <x:v>通过</x:v>
      </x:c>
    </x:row>
    <x:row r="25">
      <x:c r="A25" s="25" t="str">
        <x:v>最终 Verifier 全部通过</x:v>
      </x:c>
      <x:c r="B25" s="26" t="str">
        <x:f>IF(SUM('Token与成本'!$C$18:$C$20)=9,"通过","需检查")</x:f>
        <x:v>通过</x:v>
      </x:c>
    </x:row>
    <x:row r="26">
      <x:c r="A26" s="25" t="str">
        <x:v>实际 Provider/Model 在 DB 中一致</x:v>
      </x:c>
      <x:c r="B26" s="26" t="str">
        <x:f>IF(true,"一致","需检查")</x:f>
        <x:v>一致</x:v>
      </x:c>
    </x:row>
    <x:row r="27">
      <x:c r="A27" s="25" t="str">
        <x:v>使用 Docker</x:v>
      </x:c>
      <x:c r="B27" s="26" t="str">
        <x:f>IF(FALSE,"是","否")</x:f>
        <x:v>否</x:v>
      </x:c>
    </x:row>
    <x:row r="28">
      <x:c r="A28" s="25" t="str">
        <x:v>使用 SkillBench 标准执行路线</x:v>
      </x:c>
      <x:c r="B28" s="26" t="str">
        <x:f>IF(FALSE,"是","否")</x:f>
        <x:v>否</x:v>
      </x:c>
    </x:row>
    <x:row r="29">
      <x:c r="A29" s="25" t="str">
        <x:v>PD-VISTA 干净闭环数</x:v>
      </x:c>
      <x:c r="B29" s="26" t="n">
        <x:f>SUM('9组明细'!$Y$5:$Y$13)</x:f>
        <x:v>1</x:v>
      </x:c>
    </x:row>
    <x:row r="30">
      <x:c r="A30" s="25" t="str">
        <x:v>模型轮次收尾超时数</x:v>
      </x:c>
      <x:c r="B30" s="26" t="n">
        <x:f>SUM('9组明细'!$G$5:$G$13)</x:f>
        <x:v>1</x:v>
      </x:c>
    </x:row>
    <x:row r="31">
      <x:c r="A31" s="25" t="str">
        <x:v>诊断批次已单独列出并排除</x:v>
      </x:c>
      <x:c r="B31" s="26" t="str">
        <x:f>IF(true,"已列出","缺失")</x:f>
        <x:v>已列出</x:v>
      </x:c>
    </x:row>
    <x:row r="34" ht="22" customHeight="1">
      <x:c r="A34" s="19" t="str">
        <x:v>审计来源</x:v>
      </x:c>
      <x:c r="B34" s="19" t="str">
        <x:v>审计来源</x:v>
      </x:c>
      <x:c r="C34" s="19" t="str">
        <x:v>审计来源</x:v>
      </x:c>
      <x:c r="D34" s="19" t="str">
        <x:v>审计来源</x:v>
      </x:c>
      <x:c r="E34" s="19" t="str">
        <x:v>审计来源</x:v>
      </x:c>
      <x:c r="F34" s="19" t="str">
        <x:v>审计来源</x:v>
      </x:c>
      <x:c r="G34" s="19" t="str">
        <x:v>审计来源</x:v>
      </x:c>
      <x:c r="H34" s="19" t="str">
        <x:v>审计来源</x:v>
      </x:c>
    </x:row>
    <x:row r="35">
      <x:c r="A35" s="13" t="str">
        <x:v>/Users/wangjinhua/Downloads/vista-travel-macos-handoff-20260819-192318/data/raw/formal-task005-local-3x3-minimaxm3-20260824-03/group-summary.json</x:v>
      </x:c>
      <x:c r="B35" s="13"/>
      <x:c r="C35" s="13"/>
      <x:c r="D35" s="13"/>
      <x:c r="E35" s="13"/>
      <x:c r="F35" s="13"/>
      <x:c r="G35" s="13"/>
      <x:c r="H35" s="13"/>
    </x:row>
    <x:row r="36">
      <x:c r="A36" s="13" t="str">
        <x:v>/Users/wangjinhua/Downloads/vista-travel-macos-handoff-20260819-192318/outputs/formal-task005-local-3x3-minimaxm3-20260824-03-audit/posthoc-audit.json</x:v>
      </x:c>
      <x:c r="B36" s="13"/>
      <x:c r="C36" s="13"/>
      <x:c r="D36" s="13"/>
      <x:c r="E36" s="13"/>
      <x:c r="F36" s="13"/>
      <x:c r="G36" s="13"/>
      <x:c r="H36" s="13"/>
    </x:row>
    <x:row r="37">
      <x:c r="A37" s="13" t="str">
        <x:v>模型与费用：逐个只读查询隔离 OpenCode opencode.db；Verifier：每组最终 8/8 通过；诊断与误判批次在“排除与Readiness”中单独列出，不计入正式统计。</x:v>
      </x:c>
      <x:c r="B37" s="13"/>
      <x:c r="C37" s="13"/>
      <x:c r="D37" s="13"/>
      <x:c r="E37" s="13"/>
      <x:c r="F37" s="13"/>
      <x:c r="G37" s="13"/>
      <x:c r="H37" s="13"/>
    </x:row>
  </x:sheetData>
  <x:mergeCells>
    <x:mergeCell ref="A1:H1"/>
    <x:mergeCell ref="A14:H14"/>
    <x:mergeCell ref="A21:H21"/>
    <x:mergeCell ref="A34:H34"/>
  </x:mergeCells>
  <x:pageMargins left="0.7" right="0.7" top="0.75" bottom="0.75" header="0.3" footer="0.3"/>
  <x:tableParts count="1">
    <x:tablePart xmlns:r="http://schemas.openxmlformats.org/officeDocument/2006/relationships" r:id="R4507ae7c36cf4f1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8" hidden="0" customWidth="1"/>
    <x:col min="4" max="4" width="34" hidden="0" customWidth="1"/>
    <x:col min="5" max="5" width="14" hidden="0" customWidth="1"/>
    <x:col min="6" max="6" width="10" hidden="0" customWidth="1"/>
    <x:col min="7" max="7" width="14" hidden="0" customWidth="1"/>
    <x:col min="8" max="8" width="10" hidden="0" customWidth="1"/>
    <x:col min="9" max="9" width="10" hidden="0" customWidth="1"/>
    <x:col min="10" max="10" width="14" hidden="0" customWidth="1"/>
    <x:col min="11" max="11" width="14" hidden="0" customWidth="1"/>
    <x:col min="12" max="12" width="16" hidden="0" customWidth="1"/>
    <x:col min="13" max="13" width="16" hidden="0" customWidth="1"/>
    <x:col min="14" max="14" width="14" hidden="0" customWidth="1"/>
    <x:col min="15" max="15" width="14" hidden="0" customWidth="1"/>
    <x:col min="16" max="16" width="16" hidden="0" customWidth="1"/>
    <x:col min="17" max="17" width="30" hidden="0" customWidth="1"/>
    <x:col min="18" max="18" width="28" hidden="0" customWidth="1"/>
    <x:col min="19" max="19" width="24" hidden="0" customWidth="1"/>
    <x:col min="20" max="20" width="24" hidden="0" customWidth="1"/>
    <x:col min="21" max="21" width="12" hidden="0" customWidth="1"/>
    <x:col min="22" max="22" width="14" hidden="0" customWidth="1"/>
    <x:col min="23" max="23" width="12" hidden="0" customWidth="1"/>
    <x:col min="24" max="24" width="14" hidden="0" customWidth="1"/>
    <x:col min="25" max="25" width="12" hidden="0" customWidth="1"/>
    <x:col min="26" max="26" width="52" hidden="0" customWidth="1"/>
    <x:col min="27" max="27" width="48" hidden="0" customWidth="1"/>
    <x:col min="28" max="28" width="58" hidden="0" customWidth="1"/>
  </x:cols>
  <x:sheetData>
    <x:row r="1" ht="28" customHeight="1">
      <x:c r="A1" s="3" t="str">
        <x:v>task5 · 9组明细（formal-task005-local-3x3-minimaxm3-20260824-03）</x:v>
      </x:c>
      <x:c r="B1" s="3" t="str">
        <x:v>task5 · 9组明细（formal-task005-local-3x3-minimaxm3-20260824-03）</x:v>
      </x:c>
      <x:c r="C1" s="3" t="str">
        <x:v>task5 · 9组明细（formal-task005-local-3x3-minimaxm3-20260824-03）</x:v>
      </x:c>
      <x:c r="D1" s="3" t="str">
        <x:v>task5 · 9组明细（formal-task005-local-3x3-minimaxm3-20260824-03）</x:v>
      </x:c>
      <x:c r="E1" s="3" t="str">
        <x:v>task5 · 9组明细（formal-task005-local-3x3-minimaxm3-20260824-03）</x:v>
      </x:c>
      <x:c r="F1" s="3" t="str">
        <x:v>task5 · 9组明细（formal-task005-local-3x3-minimaxm3-20260824-03）</x:v>
      </x:c>
      <x:c r="G1" s="3" t="str">
        <x:v>task5 · 9组明细（formal-task005-local-3x3-minimaxm3-20260824-03）</x:v>
      </x:c>
      <x:c r="H1" s="3" t="str">
        <x:v>task5 · 9组明细（formal-task005-local-3x3-minimaxm3-20260824-03）</x:v>
      </x:c>
      <x:c r="I1" s="3" t="str">
        <x:v>task5 · 9组明细（formal-task005-local-3x3-minimaxm3-20260824-03）</x:v>
      </x:c>
      <x:c r="J1" s="3" t="str">
        <x:v>task5 · 9组明细（formal-task005-local-3x3-minimaxm3-20260824-03）</x:v>
      </x:c>
      <x:c r="K1" s="3" t="str">
        <x:v>task5 · 9组明细（formal-task005-local-3x3-minimaxm3-20260824-03）</x:v>
      </x:c>
      <x:c r="L1" s="3" t="str">
        <x:v>task5 · 9组明细（formal-task005-local-3x3-minimaxm3-20260824-03）</x:v>
      </x:c>
      <x:c r="M1" s="3" t="str">
        <x:v>task5 · 9组明细（formal-task005-local-3x3-minimaxm3-20260824-03）</x:v>
      </x:c>
      <x:c r="N1" s="3" t="str">
        <x:v>task5 · 9组明细（formal-task005-local-3x3-minimaxm3-20260824-03）</x:v>
      </x:c>
      <x:c r="O1" s="3" t="str">
        <x:v>task5 · 9组明细（formal-task005-local-3x3-minimaxm3-20260824-03）</x:v>
      </x:c>
      <x:c r="P1" s="3" t="str">
        <x:v>task5 · 9组明细（formal-task005-local-3x3-minimaxm3-20260824-03）</x:v>
      </x:c>
      <x:c r="Q1" s="3" t="str">
        <x:v>task5 · 9组明细（formal-task005-local-3x3-minimaxm3-20260824-03）</x:v>
      </x:c>
      <x:c r="R1" s="3" t="str">
        <x:v>task5 · 9组明细（formal-task005-local-3x3-minimaxm3-20260824-03）</x:v>
      </x:c>
      <x:c r="S1" s="3" t="str">
        <x:v>task5 · 9组明细（formal-task005-local-3x3-minimaxm3-20260824-03）</x:v>
      </x:c>
      <x:c r="T1" s="3" t="str">
        <x:v>task5 · 9组明细（formal-task005-local-3x3-minimaxm3-20260824-03）</x:v>
      </x:c>
      <x:c r="U1" s="3" t="str">
        <x:v>task5 · 9组明细（formal-task005-local-3x3-minimaxm3-20260824-03）</x:v>
      </x:c>
      <x:c r="V1" s="3" t="str">
        <x:v>task5 · 9组明细（formal-task005-local-3x3-minimaxm3-20260824-03）</x:v>
      </x:c>
      <x:c r="W1" s="3" t="str">
        <x:v>task5 · 9组明细（formal-task005-local-3x3-minimaxm3-20260824-03）</x:v>
      </x:c>
      <x:c r="X1" s="3" t="str">
        <x:v>task5 · 9组明细（formal-task005-local-3x3-minimaxm3-20260824-03）</x:v>
      </x:c>
      <x:c r="Y1" s="3" t="str">
        <x:v>task5 · 9组明细（formal-task005-local-3x3-minimaxm3-20260824-03）</x:v>
      </x:c>
      <x:c r="Z1" s="3" t="str">
        <x:v>task5 · 9组明细（formal-task005-local-3x3-minimaxm3-20260824-03）</x:v>
      </x:c>
      <x:c r="AA1" s="3" t="str">
        <x:v>task5 · 9组明细（formal-task005-local-3x3-minimaxm3-20260824-03）</x:v>
      </x:c>
      <x:c r="AB1" s="3" t="str">
        <x:v>task5 · 9组明细（formal-task005-local-3x3-minimaxm3-20260824-03）</x:v>
      </x:c>
    </x:row>
    <x:row r="4">
      <x:c r="A4" s="7" t="str">
        <x:v>组ID</x:v>
      </x:c>
      <x:c r="B4" s="7" t="str">
        <x:v>条件</x:v>
      </x:c>
      <x:c r="C4" s="7" t="str">
        <x:v>重复</x:v>
      </x:c>
      <x:c r="D4" s="7" t="str">
        <x:v>状态</x:v>
      </x:c>
      <x:c r="E4" s="7" t="str">
        <x:v>最终Verifier通过</x:v>
      </x:c>
      <x:c r="F4" s="7" t="str">
        <x:v>总轮次</x:v>
      </x:c>
      <x:c r="G4" s="7" t="str">
        <x:v>模型收尾超时</x:v>
      </x:c>
      <x:c r="H4" s="7" t="str">
        <x:v>请求数</x:v>
      </x:c>
      <x:c r="I4" s="7" t="str">
        <x:v>工具调用</x:v>
      </x:c>
      <x:c r="J4" s="7" t="str">
        <x:v>输入Token</x:v>
      </x:c>
      <x:c r="K4" s="7" t="str">
        <x:v>输出Token</x:v>
      </x:c>
      <x:c r="L4" s="7" t="str">
        <x:v>缓存读取Token</x:v>
      </x:c>
      <x:c r="M4" s="7" t="str">
        <x:v>输入+输出Token</x:v>
      </x:c>
      <x:c r="N4" s="7" t="str">
        <x:v>DB记录费用</x:v>
      </x:c>
      <x:c r="O4" s="7" t="str">
        <x:v>Provider</x:v>
      </x:c>
      <x:c r="P4" s="7" t="str">
        <x:v>Model</x:v>
      </x:c>
      <x:c r="Q4" s="7" t="str">
        <x:v>Session ID</x:v>
      </x:c>
      <x:c r="R4" s="7" t="str">
        <x:v>初始模块</x:v>
      </x:c>
      <x:c r="S4" s="7" t="str">
        <x:v>披露模块</x:v>
      </x:c>
      <x:c r="T4" s="7" t="str">
        <x:v>下一轮实际访问</x:v>
      </x:c>
      <x:c r="U4" s="7" t="str">
        <x:v>触发机会</x:v>
      </x:c>
      <x:c r="V4" s="7" t="str">
        <x:v>可路由反馈</x:v>
      </x:c>
      <x:c r="W4" s="7" t="str">
        <x:v>成功披露</x:v>
      </x:c>
      <x:c r="X4" s="7" t="str">
        <x:v>下一轮模块访问</x:v>
      </x:c>
      <x:c r="Y4" s="7" t="str">
        <x:v>干净闭环</x:v>
      </x:c>
      <x:c r="Z4" s="7" t="str">
        <x:v>目录分布</x:v>
      </x:c>
      <x:c r="AA4" s="7" t="str">
        <x:v>结果路径</x:v>
      </x:c>
      <x:c r="AB4" s="7" t="str">
        <x:v>工作区</x:v>
      </x:c>
    </x:row>
    <x:row r="5">
      <x:c r="A5" s="13" t="str">
        <x:v>noskill-01</x:v>
      </x:c>
      <x:c r="B5" s="13" t="str">
        <x:v>noskill</x:v>
      </x:c>
      <x:c r="C5" s="13" t="n">
        <x:v>1</x:v>
      </x:c>
      <x:c r="D5" s="13" t="str">
        <x:v>passed</x:v>
      </x:c>
      <x:c r="E5" s="15" t="b">
        <x:v>1</x:v>
      </x:c>
      <x:c r="F5" s="16" t="n">
        <x:v>1</x:v>
      </x:c>
      <x:c r="G5" s="16" t="n">
        <x:v>0</x:v>
      </x:c>
      <x:c r="H5" s="16" t="n">
        <x:v>28</x:v>
      </x:c>
      <x:c r="I5" s="16" t="n">
        <x:v>27</x:v>
      </x:c>
      <x:c r="J5" s="16" t="n">
        <x:v>55243</x:v>
      </x:c>
      <x:c r="K5" s="16" t="n">
        <x:v>13772</x:v>
      </x:c>
      <x:c r="L5" s="16" t="n">
        <x:v>763754</x:v>
      </x:c>
      <x:c r="M5" s="16" t="n">
        <x:f>J5+K5</x:f>
        <x:v>69015</x:v>
      </x:c>
      <x:c r="N5" s="17" t="n">
        <x:v>0.07892453999999999</x:v>
      </x:c>
      <x:c r="O5" s="13" t="str">
        <x:v>minimax-cn</x:v>
      </x:c>
      <x:c r="P5" s="13" t="str">
        <x:v>MiniMax-M3</x:v>
      </x:c>
      <x:c r="Q5" s="13" t="str">
        <x:v>ses_fce071451ffe9bWWpS24QykTT8</x:v>
      </x:c>
      <x:c r="R5" s="13" t="str">
        <x:v>—</x:v>
      </x:c>
      <x:c r="S5" s="13" t="str">
        <x:v>—</x:v>
      </x:c>
      <x:c r="T5" s="13" t="str">
        <x:v>—</x:v>
      </x:c>
      <x:c r="U5" s="13" t="n">
        <x:v>0</x:v>
      </x:c>
      <x:c r="V5" s="13" t="n">
        <x:v>0</x:v>
      </x:c>
      <x:c r="W5" s="13" t="n">
        <x:v>0</x:v>
      </x:c>
      <x:c r="X5" s="13" t="n">
        <x:v>0</x:v>
      </x:c>
      <x:c r="Y5" s="13" t="n">
        <x:v>0</x:v>
      </x:c>
      <x:c r="Z5" s="13" t="str">
        <x:v>LLM=20; trapped=23; black=20; DNA=20; music=20</x:v>
      </x:c>
      <x:c r="AA5" s="13" t="str">
        <x:v>/Users/wangjinhua/Downloads/vista-travel-macos-handoff-20260819-192318/data/raw/formal-task005-local-3x3-minimaxm3-20260824-03/noskill/replicate-01</x:v>
      </x:c>
      <x:c r="AB5" s="13" t="str">
        <x:v>/Users/wangjinhua/Library/Caches/VistaExperiments/formal-task005-local-3x3-minimaxm3-20260824-03-noskill-replicate-01-attempt-01/workspace</x:v>
      </x:c>
    </x:row>
    <x:row r="6">
      <x:c r="A6" s="13" t="str">
        <x:v>native-01</x:v>
      </x:c>
      <x:c r="B6" s="13" t="str">
        <x:v>native</x:v>
      </x:c>
      <x:c r="C6" s="13" t="n">
        <x:v>1</x:v>
      </x:c>
      <x:c r="D6" s="13" t="str">
        <x:v>passed</x:v>
      </x:c>
      <x:c r="E6" s="15" t="b">
        <x:v>1</x:v>
      </x:c>
      <x:c r="F6" s="16" t="n">
        <x:v>1</x:v>
      </x:c>
      <x:c r="G6" s="16" t="n">
        <x:v>0</x:v>
      </x:c>
      <x:c r="H6" s="16" t="n">
        <x:v>43</x:v>
      </x:c>
      <x:c r="I6" s="16" t="n">
        <x:v>42</x:v>
      </x:c>
      <x:c r="J6" s="16" t="n">
        <x:v>81001</x:v>
      </x:c>
      <x:c r="K6" s="16" t="n">
        <x:v>13881</x:v>
      </x:c>
      <x:c r="L6" s="16" t="n">
        <x:v>2011048</x:v>
      </x:c>
      <x:c r="M6" s="16" t="n">
        <x:f>J6+K6</x:f>
        <x:v>94882</x:v>
      </x:c>
      <x:c r="N6" s="17" t="n">
        <x:v>0.16162038</x:v>
      </x:c>
      <x:c r="O6" s="13" t="str">
        <x:v>minimax-cn</x:v>
      </x:c>
      <x:c r="P6" s="13" t="str">
        <x:v>MiniMax-M3</x:v>
      </x:c>
      <x:c r="Q6" s="13" t="str">
        <x:v>ses_fce048966ffeT68ZCUkftJpD0q</x:v>
      </x:c>
      <x:c r="R6" s="13" t="str">
        <x:v>planning-with-files、file-organizer、pdf、docx、pptx</x:v>
      </x:c>
      <x:c r="S6" s="13" t="str">
        <x:v>—</x:v>
      </x:c>
      <x:c r="T6" s="13" t="str">
        <x:v>—</x:v>
      </x:c>
      <x:c r="U6" s="13" t="n">
        <x:v>0</x:v>
      </x:c>
      <x:c r="V6" s="13" t="n">
        <x:v>0</x:v>
      </x:c>
      <x:c r="W6" s="13" t="n">
        <x:v>0</x:v>
      </x:c>
      <x:c r="X6" s="13" t="n">
        <x:v>0</x:v>
      </x:c>
      <x:c r="Y6" s="13" t="n">
        <x:v>0</x:v>
      </x:c>
      <x:c r="Z6" s="13" t="str">
        <x:v>LLM=20; trapped=23; black=20; DNA=20; music=20</x:v>
      </x:c>
      <x:c r="AA6" s="13" t="str">
        <x:v>/Users/wangjinhua/Downloads/vista-travel-macos-handoff-20260819-192318/data/raw/formal-task005-local-3x3-minimaxm3-20260824-03/native/replicate-01</x:v>
      </x:c>
      <x:c r="AB6" s="13" t="str">
        <x:v>/Users/wangjinhua/Library/Caches/VistaExperiments/formal-task005-local-3x3-minimaxm3-20260824-03-native-replicate-01-attempt-01/workspace</x:v>
      </x:c>
    </x:row>
    <x:row r="7">
      <x:c r="A7" s="13" t="str">
        <x:v>pd-vista-01</x:v>
      </x:c>
      <x:c r="B7" s="13" t="str">
        <x:v>pd-vista</x:v>
      </x:c>
      <x:c r="C7" s="13" t="n">
        <x:v>1</x:v>
      </x:c>
      <x:c r="D7" s="13" t="str">
        <x:v>passed_with_clean_vista_feedback_loop</x:v>
      </x:c>
      <x:c r="E7" s="15" t="b">
        <x:v>1</x:v>
      </x:c>
      <x:c r="F7" s="16" t="n">
        <x:v>3</x:v>
      </x:c>
      <x:c r="G7" s="16" t="n">
        <x:v>1</x:v>
      </x:c>
      <x:c r="H7" s="16" t="n">
        <x:v>49</x:v>
      </x:c>
      <x:c r="I7" s="16" t="n">
        <x:v>49</x:v>
      </x:c>
      <x:c r="J7" s="16" t="n">
        <x:v>140342</x:v>
      </x:c>
      <x:c r="K7" s="16" t="n">
        <x:v>25912</x:v>
      </x:c>
      <x:c r="L7" s="16" t="n">
        <x:v>2140288</x:v>
      </x:c>
      <x:c r="M7" s="16" t="n">
        <x:f>J7+K7</x:f>
        <x:v>166254</x:v>
      </x:c>
      <x:c r="N7" s="17" t="n">
        <x:v>0.20161428000000003</x:v>
      </x:c>
      <x:c r="O7" s="13" t="str">
        <x:v>minimax-cn</x:v>
      </x:c>
      <x:c r="P7" s="13" t="str">
        <x:v>MiniMax-M3</x:v>
      </x:c>
      <x:c r="Q7" s="13" t="str">
        <x:v>ses_fce01b06cffeKYy3YO80Z7WFwQ</x:v>
      </x:c>
      <x:c r="R7" s="13" t="str">
        <x:v>—</x:v>
      </x:c>
      <x:c r="S7" s="13" t="str">
        <x:v>planning-with-files</x:v>
      </x:c>
      <x:c r="T7" s="13" t="str">
        <x:v>planning-with-files</x:v>
      </x:c>
      <x:c r="U7" s="13" t="n">
        <x:v>2</x:v>
      </x:c>
      <x:c r="V7" s="13" t="n">
        <x:v>2</x:v>
      </x:c>
      <x:c r="W7" s="13" t="n">
        <x:v>1</x:v>
      </x:c>
      <x:c r="X7" s="13" t="n">
        <x:v>1</x:v>
      </x:c>
      <x:c r="Y7" s="13" t="n">
        <x:v>1</x:v>
      </x:c>
      <x:c r="Z7" s="13" t="str">
        <x:v>LLM=20; trapped=23; black=20; DNA=20; music=20</x:v>
      </x:c>
      <x:c r="AA7" s="13" t="str">
        <x:v>/Users/wangjinhua/Downloads/vista-travel-macos-handoff-20260819-192318/data/raw/formal-task005-local-3x3-minimaxm3-20260824-03/pd-vista/replicate-01</x:v>
      </x:c>
      <x:c r="AB7" s="13" t="str">
        <x:v>/Users/wangjinhua/Library/Caches/VistaExperiments/formal-task005-local-3x3-minimaxm3-20260824-03-pd-vista-replicate-01-attempt-01/workspace</x:v>
      </x:c>
    </x:row>
    <x:row r="8">
      <x:c r="A8" s="13" t="str">
        <x:v>native-02</x:v>
      </x:c>
      <x:c r="B8" s="13" t="str">
        <x:v>native</x:v>
      </x:c>
      <x:c r="C8" s="13" t="n">
        <x:v>2</x:v>
      </x:c>
      <x:c r="D8" s="13" t="str">
        <x:v>passed</x:v>
      </x:c>
      <x:c r="E8" s="15" t="b">
        <x:v>1</x:v>
      </x:c>
      <x:c r="F8" s="16" t="n">
        <x:v>2</x:v>
      </x:c>
      <x:c r="G8" s="16" t="n">
        <x:v>0</x:v>
      </x:c>
      <x:c r="H8" s="16" t="n">
        <x:v>47</x:v>
      </x:c>
      <x:c r="I8" s="16" t="n">
        <x:v>45</x:v>
      </x:c>
      <x:c r="J8" s="16" t="n">
        <x:v>472884</x:v>
      </x:c>
      <x:c r="K8" s="16" t="n">
        <x:v>12383</x:v>
      </x:c>
      <x:c r="L8" s="16" t="n">
        <x:v>3394816</x:v>
      </x:c>
      <x:c r="M8" s="16" t="n">
        <x:f>J8+K8</x:f>
        <x:v>485267</x:v>
      </x:c>
      <x:c r="N8" s="17" t="n">
        <x:v>0.3604137599999999</x:v>
      </x:c>
      <x:c r="O8" s="13" t="str">
        <x:v>minimax-cn</x:v>
      </x:c>
      <x:c r="P8" s="13" t="str">
        <x:v>MiniMax-M3</x:v>
      </x:c>
      <x:c r="Q8" s="13" t="str">
        <x:v>ses_fcdf9834effeMH4ZhwiVIIx22T</x:v>
      </x:c>
      <x:c r="R8" s="13" t="str">
        <x:v>planning-with-files、file-organizer、pdf、docx、pptx</x:v>
      </x:c>
      <x:c r="S8" s="13" t="str">
        <x:v>—</x:v>
      </x:c>
      <x:c r="T8" s="13" t="str">
        <x:v>—</x:v>
      </x:c>
      <x:c r="U8" s="13" t="n">
        <x:v>1</x:v>
      </x:c>
      <x:c r="V8" s="13" t="n">
        <x:v>0</x:v>
      </x:c>
      <x:c r="W8" s="13" t="n">
        <x:v>0</x:v>
      </x:c>
      <x:c r="X8" s="13" t="n">
        <x:v>0</x:v>
      </x:c>
      <x:c r="Y8" s="13" t="n">
        <x:v>0</x:v>
      </x:c>
      <x:c r="Z8" s="13" t="str">
        <x:v>LLM=20; trapped=23; black=20; DNA=20; music=20</x:v>
      </x:c>
      <x:c r="AA8" s="13" t="str">
        <x:v>/Users/wangjinhua/Downloads/vista-travel-macos-handoff-20260819-192318/data/raw/formal-task005-local-3x3-minimaxm3-20260824-03/native/replicate-02</x:v>
      </x:c>
      <x:c r="AB8" s="13" t="str">
        <x:v>/Users/wangjinhua/Library/Caches/VistaExperiments/formal-task005-local-3x3-minimaxm3-20260824-03-native-replicate-02-attempt-01/workspace</x:v>
      </x:c>
    </x:row>
    <x:row r="9">
      <x:c r="A9" s="13" t="str">
        <x:v>pd-vista-02</x:v>
      </x:c>
      <x:c r="B9" s="13" t="str">
        <x:v>pd-vista</x:v>
      </x:c>
      <x:c r="C9" s="13" t="n">
        <x:v>2</x:v>
      </x:c>
      <x:c r="D9" s="13" t="str">
        <x:v>passed_without_clean_vista_feedback_loop</x:v>
      </x:c>
      <x:c r="E9" s="15" t="b">
        <x:v>1</x:v>
      </x:c>
      <x:c r="F9" s="16" t="n">
        <x:v>1</x:v>
      </x:c>
      <x:c r="G9" s="16" t="n">
        <x:v>0</x:v>
      </x:c>
      <x:c r="H9" s="16" t="n">
        <x:v>28</x:v>
      </x:c>
      <x:c r="I9" s="16" t="n">
        <x:v>27</x:v>
      </x:c>
      <x:c r="J9" s="16" t="n">
        <x:v>59695</x:v>
      </x:c>
      <x:c r="K9" s="16" t="n">
        <x:v>12823</x:v>
      </x:c>
      <x:c r="L9" s="16" t="n">
        <x:v>668008</x:v>
      </x:c>
      <x:c r="M9" s="16" t="n">
        <x:f>J9+K9</x:f>
        <x:v>72518</x:v>
      </x:c>
      <x:c r="N9" s="17" t="n">
        <x:v>0.07337658000000001</x:v>
      </x:c>
      <x:c r="O9" s="13" t="str">
        <x:v>minimax-cn</x:v>
      </x:c>
      <x:c r="P9" s="13" t="str">
        <x:v>MiniMax-M3</x:v>
      </x:c>
      <x:c r="Q9" s="13" t="str">
        <x:v>ses_fcdf57e4effeAPbCybKQIi6Dv6</x:v>
      </x:c>
      <x:c r="R9" s="13" t="str">
        <x:v>—</x:v>
      </x:c>
      <x:c r="S9" s="13" t="str">
        <x:v>—</x:v>
      </x:c>
      <x:c r="T9" s="13" t="str">
        <x:v>—</x:v>
      </x:c>
      <x:c r="U9" s="13" t="n">
        <x:v>0</x:v>
      </x:c>
      <x:c r="V9" s="13" t="n">
        <x:v>0</x:v>
      </x:c>
      <x:c r="W9" s="13" t="n">
        <x:v>0</x:v>
      </x:c>
      <x:c r="X9" s="13" t="n">
        <x:v>0</x:v>
      </x:c>
      <x:c r="Y9" s="13" t="n">
        <x:v>0</x:v>
      </x:c>
      <x:c r="Z9" s="13" t="str">
        <x:v>LLM=20; trapped=23; black=20; DNA=20; music=20</x:v>
      </x:c>
      <x:c r="AA9" s="13" t="str">
        <x:v>/Users/wangjinhua/Downloads/vista-travel-macos-handoff-20260819-192318/data/raw/formal-task005-local-3x3-minimaxm3-20260824-03/pd-vista/replicate-02</x:v>
      </x:c>
      <x:c r="AB9" s="13" t="str">
        <x:v>/Users/wangjinhua/Library/Caches/VistaExperiments/formal-task005-local-3x3-minimaxm3-20260824-03-pd-vista-replicate-02-attempt-01/workspace</x:v>
      </x:c>
    </x:row>
    <x:row r="10">
      <x:c r="A10" s="13" t="str">
        <x:v>noskill-02</x:v>
      </x:c>
      <x:c r="B10" s="13" t="str">
        <x:v>noskill</x:v>
      </x:c>
      <x:c r="C10" s="13" t="n">
        <x:v>2</x:v>
      </x:c>
      <x:c r="D10" s="13" t="str">
        <x:v>passed</x:v>
      </x:c>
      <x:c r="E10" s="15" t="b">
        <x:v>1</x:v>
      </x:c>
      <x:c r="F10" s="16" t="n">
        <x:v>1</x:v>
      </x:c>
      <x:c r="G10" s="16" t="n">
        <x:v>0</x:v>
      </x:c>
      <x:c r="H10" s="16" t="n">
        <x:v>35</x:v>
      </x:c>
      <x:c r="I10" s="16" t="n">
        <x:v>34</x:v>
      </x:c>
      <x:c r="J10" s="16" t="n">
        <x:v>41115</x:v>
      </x:c>
      <x:c r="K10" s="16" t="n">
        <x:v>15811</x:v>
      </x:c>
      <x:c r="L10" s="16" t="n">
        <x:v>684565</x:v>
      </x:c>
      <x:c r="M10" s="16" t="n">
        <x:f>J10+K10</x:f>
        <x:v>56926</x:v>
      </x:c>
      <x:c r="N10" s="17" t="n">
        <x:v>0.0723816</x:v>
      </x:c>
      <x:c r="O10" s="13" t="str">
        <x:v>minimax-cn</x:v>
      </x:c>
      <x:c r="P10" s="13" t="str">
        <x:v>MiniMax-M3</x:v>
      </x:c>
      <x:c r="Q10" s="13" t="str">
        <x:v>ses_fcdf33752ffeKY5aH10REay25F</x:v>
      </x:c>
      <x:c r="R10" s="13" t="str">
        <x:v>—</x:v>
      </x:c>
      <x:c r="S10" s="13" t="str">
        <x:v>—</x:v>
      </x:c>
      <x:c r="T10" s="13" t="str">
        <x:v>—</x:v>
      </x:c>
      <x:c r="U10" s="13" t="n">
        <x:v>0</x:v>
      </x:c>
      <x:c r="V10" s="13" t="n">
        <x:v>0</x:v>
      </x:c>
      <x:c r="W10" s="13" t="n">
        <x:v>0</x:v>
      </x:c>
      <x:c r="X10" s="13" t="n">
        <x:v>0</x:v>
      </x:c>
      <x:c r="Y10" s="13" t="n">
        <x:v>0</x:v>
      </x:c>
      <x:c r="Z10" s="13" t="str">
        <x:v>LLM=20; trapped=23; black=20; DNA=20; music=20</x:v>
      </x:c>
      <x:c r="AA10" s="13" t="str">
        <x:v>/Users/wangjinhua/Downloads/vista-travel-macos-handoff-20260819-192318/data/raw/formal-task005-local-3x3-minimaxm3-20260824-03/noskill/replicate-02</x:v>
      </x:c>
      <x:c r="AB10" s="13" t="str">
        <x:v>/Users/wangjinhua/Library/Caches/VistaExperiments/formal-task005-local-3x3-minimaxm3-20260824-03-noskill-replicate-02-attempt-01/workspace</x:v>
      </x:c>
    </x:row>
    <x:row r="11">
      <x:c r="A11" s="13" t="str">
        <x:v>pd-vista-03</x:v>
      </x:c>
      <x:c r="B11" s="13" t="str">
        <x:v>pd-vista</x:v>
      </x:c>
      <x:c r="C11" s="13" t="n">
        <x:v>3</x:v>
      </x:c>
      <x:c r="D11" s="13" t="str">
        <x:v>passed_without_clean_vista_feedback_loop</x:v>
      </x:c>
      <x:c r="E11" s="15" t="b">
        <x:v>1</x:v>
      </x:c>
      <x:c r="F11" s="16" t="n">
        <x:v>1</x:v>
      </x:c>
      <x:c r="G11" s="16" t="n">
        <x:v>0</x:v>
      </x:c>
      <x:c r="H11" s="16" t="n">
        <x:v>24</x:v>
      </x:c>
      <x:c r="I11" s="16" t="n">
        <x:v>23</x:v>
      </x:c>
      <x:c r="J11" s="16" t="n">
        <x:v>90015</x:v>
      </x:c>
      <x:c r="K11" s="16" t="n">
        <x:v>11921</x:v>
      </x:c>
      <x:c r="L11" s="16" t="n">
        <x:v>956563</x:v>
      </x:c>
      <x:c r="M11" s="16" t="n">
        <x:f>J11+K11</x:f>
        <x:v>101936</x:v>
      </x:c>
      <x:c r="N11" s="17" t="n">
        <x:v>0.09870347999999998</x:v>
      </x:c>
      <x:c r="O11" s="13" t="str">
        <x:v>minimax-cn</x:v>
      </x:c>
      <x:c r="P11" s="13" t="str">
        <x:v>MiniMax-M3</x:v>
      </x:c>
      <x:c r="Q11" s="13" t="str">
        <x:v>ses_fcdefd6dcffeXI9ExsVZCv17je</x:v>
      </x:c>
      <x:c r="R11" s="13" t="str">
        <x:v>—</x:v>
      </x:c>
      <x:c r="S11" s="13" t="str">
        <x:v>—</x:v>
      </x:c>
      <x:c r="T11" s="13" t="str">
        <x:v>—</x:v>
      </x:c>
      <x:c r="U11" s="13" t="n">
        <x:v>0</x:v>
      </x:c>
      <x:c r="V11" s="13" t="n">
        <x:v>0</x:v>
      </x:c>
      <x:c r="W11" s="13" t="n">
        <x:v>0</x:v>
      </x:c>
      <x:c r="X11" s="13" t="n">
        <x:v>0</x:v>
      </x:c>
      <x:c r="Y11" s="13" t="n">
        <x:v>0</x:v>
      </x:c>
      <x:c r="Z11" s="13" t="str">
        <x:v>LLM=20; trapped=23; black=20; DNA=20; music=20</x:v>
      </x:c>
      <x:c r="AA11" s="13" t="str">
        <x:v>/Users/wangjinhua/Downloads/vista-travel-macos-handoff-20260819-192318/data/raw/formal-task005-local-3x3-minimaxm3-20260824-03/pd-vista/replicate-03</x:v>
      </x:c>
      <x:c r="AB11" s="13" t="str">
        <x:v>/Users/wangjinhua/Library/Caches/VistaExperiments/formal-task005-local-3x3-minimaxm3-20260824-03-pd-vista-replicate-03-attempt-01/workspace</x:v>
      </x:c>
    </x:row>
    <x:row r="12">
      <x:c r="A12" s="13" t="str">
        <x:v>noskill-03</x:v>
      </x:c>
      <x:c r="B12" s="13" t="str">
        <x:v>noskill</x:v>
      </x:c>
      <x:c r="C12" s="13" t="n">
        <x:v>3</x:v>
      </x:c>
      <x:c r="D12" s="13" t="str">
        <x:v>passed</x:v>
      </x:c>
      <x:c r="E12" s="15" t="b">
        <x:v>1</x:v>
      </x:c>
      <x:c r="F12" s="16" t="n">
        <x:v>1</x:v>
      </x:c>
      <x:c r="G12" s="16" t="n">
        <x:v>0</x:v>
      </x:c>
      <x:c r="H12" s="16" t="n">
        <x:v>37</x:v>
      </x:c>
      <x:c r="I12" s="16" t="n">
        <x:v>37</x:v>
      </x:c>
      <x:c r="J12" s="16" t="n">
        <x:v>140027</x:v>
      </x:c>
      <x:c r="K12" s="16" t="n">
        <x:v>9770</x:v>
      </x:c>
      <x:c r="L12" s="16" t="n">
        <x:v>2643352</x:v>
      </x:c>
      <x:c r="M12" s="16" t="n">
        <x:f>J12+K12</x:f>
        <x:v>149797</x:v>
      </x:c>
      <x:c r="N12" s="17" t="n">
        <x:v>0.21233322</x:v>
      </x:c>
      <x:c r="O12" s="13" t="str">
        <x:v>minimax-cn</x:v>
      </x:c>
      <x:c r="P12" s="13" t="str">
        <x:v>MiniMax-M3</x:v>
      </x:c>
      <x:c r="Q12" s="13" t="str">
        <x:v>ses_fcdee0f45ffe30Wnw9qnxjQzwv</x:v>
      </x:c>
      <x:c r="R12" s="13" t="str">
        <x:v>—</x:v>
      </x:c>
      <x:c r="S12" s="13" t="str">
        <x:v>—</x:v>
      </x:c>
      <x:c r="T12" s="13" t="str">
        <x:v>—</x:v>
      </x:c>
      <x:c r="U12" s="13" t="n">
        <x:v>0</x:v>
      </x:c>
      <x:c r="V12" s="13" t="n">
        <x:v>0</x:v>
      </x:c>
      <x:c r="W12" s="13" t="n">
        <x:v>0</x:v>
      </x:c>
      <x:c r="X12" s="13" t="n">
        <x:v>0</x:v>
      </x:c>
      <x:c r="Y12" s="13" t="n">
        <x:v>0</x:v>
      </x:c>
      <x:c r="Z12" s="13" t="str">
        <x:v>LLM=20; trapped=23; black=20; DNA=20; music=20</x:v>
      </x:c>
      <x:c r="AA12" s="13" t="str">
        <x:v>/Users/wangjinhua/Downloads/vista-travel-macos-handoff-20260819-192318/data/raw/formal-task005-local-3x3-minimaxm3-20260824-03/noskill/replicate-03</x:v>
      </x:c>
      <x:c r="AB12" s="13" t="str">
        <x:v>/Users/wangjinhua/Library/Caches/VistaExperiments/formal-task005-local-3x3-minimaxm3-20260824-03-noskill-replicate-03-attempt-01/workspace</x:v>
      </x:c>
    </x:row>
    <x:row r="13">
      <x:c r="A13" s="13" t="str">
        <x:v>native-03</x:v>
      </x:c>
      <x:c r="B13" s="13" t="str">
        <x:v>native</x:v>
      </x:c>
      <x:c r="C13" s="13" t="n">
        <x:v>3</x:v>
      </x:c>
      <x:c r="D13" s="13" t="str">
        <x:v>passed</x:v>
      </x:c>
      <x:c r="E13" s="15" t="b">
        <x:v>1</x:v>
      </x:c>
      <x:c r="F13" s="16" t="n">
        <x:v>1</x:v>
      </x:c>
      <x:c r="G13" s="16" t="n">
        <x:v>0</x:v>
      </x:c>
      <x:c r="H13" s="16" t="n">
        <x:v>35</x:v>
      </x:c>
      <x:c r="I13" s="16" t="n">
        <x:v>34</x:v>
      </x:c>
      <x:c r="J13" s="16" t="n">
        <x:v>101689</x:v>
      </x:c>
      <x:c r="K13" s="16" t="n">
        <x:v>13785</x:v>
      </x:c>
      <x:c r="L13" s="16" t="n">
        <x:v>1680141</x:v>
      </x:c>
      <x:c r="M13" s="16" t="n">
        <x:f>J13+K13</x:f>
        <x:v>115474</x:v>
      </x:c>
      <x:c r="N13" s="17" t="n">
        <x:v>0.14785716</x:v>
      </x:c>
      <x:c r="O13" s="13" t="str">
        <x:v>minimax-cn</x:v>
      </x:c>
      <x:c r="P13" s="13" t="str">
        <x:v>MiniMax-M3</x:v>
      </x:c>
      <x:c r="Q13" s="13" t="str">
        <x:v>ses_fcdeb5b6effek7EQyHzjvRetPA</x:v>
      </x:c>
      <x:c r="R13" s="13" t="str">
        <x:v>planning-with-files、file-organizer、pdf、docx、pptx</x:v>
      </x:c>
      <x:c r="S13" s="13" t="str">
        <x:v>—</x:v>
      </x:c>
      <x:c r="T13" s="13" t="str">
        <x:v>—</x:v>
      </x:c>
      <x:c r="U13" s="13" t="n">
        <x:v>0</x:v>
      </x:c>
      <x:c r="V13" s="13" t="n">
        <x:v>0</x:v>
      </x:c>
      <x:c r="W13" s="13" t="n">
        <x:v>0</x:v>
      </x:c>
      <x:c r="X13" s="13" t="n">
        <x:v>0</x:v>
      </x:c>
      <x:c r="Y13" s="13" t="n">
        <x:v>0</x:v>
      </x:c>
      <x:c r="Z13" s="13" t="str">
        <x:v>LLM=20; trapped=23; black=20; DNA=20; music=20</x:v>
      </x:c>
      <x:c r="AA13" s="13" t="str">
        <x:v>/Users/wangjinhua/Downloads/vista-travel-macos-handoff-20260819-192318/data/raw/formal-task005-local-3x3-minimaxm3-20260824-03/native/replicate-03</x:v>
      </x:c>
      <x:c r="AB13" s="13" t="str">
        <x:v>/Users/wangjinhua/Library/Caches/VistaExperiments/formal-task005-local-3x3-minimaxm3-20260824-03-native-replicate-03-attempt-01/workspace</x:v>
      </x:c>
    </x:row>
  </x:sheetData>
  <x:mergeCells>
    <x:mergeCell ref="A1:AB1"/>
  </x:mergeCells>
  <x:pageMargins left="0.7" right="0.7" top="0.75" bottom="0.75" header="0.3" footer="0.3"/>
  <x:tableParts count="1">
    <x:tablePart xmlns:r="http://schemas.openxmlformats.org/officeDocument/2006/relationships" r:id="Re95fe587ff744ab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0" hidden="0" customWidth="1"/>
    <x:col min="4" max="4" width="12" hidden="0" customWidth="1"/>
    <x:col min="5" max="5" width="12" hidden="0" customWidth="1"/>
    <x:col min="6" max="6" width="14" hidden="0" customWidth="1"/>
    <x:col min="7" max="7" width="14" hidden="0" customWidth="1"/>
    <x:col min="8" max="8" width="14" hidden="0" customWidth="1"/>
    <x:col min="9" max="9" width="16" hidden="0" customWidth="1"/>
    <x:col min="10" max="10" width="16" hidden="0" customWidth="1"/>
    <x:col min="11" max="11" width="30" hidden="0" customWidth="1"/>
  </x:cols>
  <x:sheetData>
    <x:row r="1" ht="28" customHeight="1">
      <x:c r="A1" s="3" t="str">
        <x:v>Token 与成本（DB 记录费用 + 公式汇总）</x:v>
      </x:c>
      <x:c r="B1" s="3" t="str">
        <x:v>Token 与成本（DB 记录费用 + 公式汇总）</x:v>
      </x:c>
      <x:c r="C1" s="3" t="str">
        <x:v>Token 与成本（DB 记录费用 + 公式汇总）</x:v>
      </x:c>
      <x:c r="D1" s="3" t="str">
        <x:v>Token 与成本（DB 记录费用 + 公式汇总）</x:v>
      </x:c>
      <x:c r="E1" s="3" t="str">
        <x:v>Token 与成本（DB 记录费用 + 公式汇总）</x:v>
      </x:c>
      <x:c r="F1" s="3" t="str">
        <x:v>Token 与成本（DB 记录费用 + 公式汇总）</x:v>
      </x:c>
      <x:c r="G1" s="3" t="str">
        <x:v>Token 与成本（DB 记录费用 + 公式汇总）</x:v>
      </x:c>
      <x:c r="H1" s="3" t="str">
        <x:v>Token 与成本（DB 记录费用 + 公式汇总）</x:v>
      </x:c>
      <x:c r="I1" s="3" t="str">
        <x:v>Token 与成本（DB 记录费用 + 公式汇总）</x:v>
      </x:c>
      <x:c r="J1" s="3" t="str">
        <x:v>Token 与成本（DB 记录费用 + 公式汇总）</x:v>
      </x:c>
      <x:c r="K1" s="3" t="str">
        <x:v>Token 与成本（DB 记录费用 + 公式汇总）</x:v>
      </x:c>
    </x:row>
    <x:row r="3" ht="22" customHeight="1">
      <x:c r="A3" s="19" t="str">
        <x:v>逐组使用量与费用</x:v>
      </x:c>
      <x:c r="B3" s="19" t="str">
        <x:v>逐组使用量与费用</x:v>
      </x:c>
      <x:c r="C3" s="19" t="str">
        <x:v>逐组使用量与费用</x:v>
      </x:c>
      <x:c r="D3" s="19" t="str">
        <x:v>逐组使用量与费用</x:v>
      </x:c>
      <x:c r="E3" s="19" t="str">
        <x:v>逐组使用量与费用</x:v>
      </x:c>
      <x:c r="F3" s="19" t="str">
        <x:v>逐组使用量与费用</x:v>
      </x:c>
      <x:c r="G3" s="19" t="str">
        <x:v>逐组使用量与费用</x:v>
      </x:c>
      <x:c r="H3" s="19" t="str">
        <x:v>逐组使用量与费用</x:v>
      </x:c>
      <x:c r="I3" s="19" t="str">
        <x:v>逐组使用量与费用</x:v>
      </x:c>
      <x:c r="J3" s="19" t="str">
        <x:v>逐组使用量与费用</x:v>
      </x:c>
      <x:c r="K3" s="19" t="str">
        <x:v>逐组使用量与费用</x:v>
      </x:c>
    </x:row>
    <x:row r="4">
      <x:c r="A4" s="7" t="str">
        <x:v>组ID</x:v>
      </x:c>
      <x:c r="B4" s="7" t="str">
        <x:v>条件</x:v>
      </x:c>
      <x:c r="C4" s="7" t="str">
        <x:v>重复</x:v>
      </x:c>
      <x:c r="D4" s="7" t="str">
        <x:v>请求数</x:v>
      </x:c>
      <x:c r="E4" s="7" t="str">
        <x:v>工具调用</x:v>
      </x:c>
      <x:c r="F4" s="7" t="str">
        <x:v>输入Token</x:v>
      </x:c>
      <x:c r="G4" s="7" t="str">
        <x:v>输出Token</x:v>
      </x:c>
      <x:c r="H4" s="7" t="str">
        <x:v>缓存读取Token</x:v>
      </x:c>
      <x:c r="I4" s="7" t="str">
        <x:v>输入+输出Token</x:v>
      </x:c>
      <x:c r="J4" s="7" t="str">
        <x:v>DB记录费用</x:v>
      </x:c>
      <x:c r="K4" s="7" t="str">
        <x:v>Session ID</x:v>
      </x:c>
    </x:row>
    <x:row r="5">
      <x:c r="A5" s="13" t="str">
        <x:f>'9组明细'!A5</x:f>
        <x:v>noskill-01</x:v>
      </x:c>
      <x:c r="B5" s="13" t="str">
        <x:f>'9组明细'!B5</x:f>
        <x:v>noskill</x:v>
      </x:c>
      <x:c r="C5" s="13" t="n">
        <x:f>'9组明细'!C5</x:f>
        <x:v>1</x:v>
      </x:c>
      <x:c r="D5" s="16" t="n">
        <x:f>'9组明细'!H5</x:f>
        <x:v>28</x:v>
      </x:c>
      <x:c r="E5" s="16" t="n">
        <x:f>'9组明细'!I5</x:f>
        <x:v>27</x:v>
      </x:c>
      <x:c r="F5" s="16" t="n">
        <x:f>'9组明细'!J5</x:f>
        <x:v>55243</x:v>
      </x:c>
      <x:c r="G5" s="16" t="n">
        <x:f>'9组明细'!K5</x:f>
        <x:v>13772</x:v>
      </x:c>
      <x:c r="H5" s="16" t="n">
        <x:f>'9组明细'!L5</x:f>
        <x:v>763754</x:v>
      </x:c>
      <x:c r="I5" s="16" t="n">
        <x:f>'9组明细'!M5</x:f>
        <x:v>69015</x:v>
      </x:c>
      <x:c r="J5" s="17" t="n">
        <x:f>'9组明细'!N5</x:f>
        <x:v>0.07892453999999999</x:v>
      </x:c>
      <x:c r="K5" s="13" t="str">
        <x:f>'9组明细'!Q5</x:f>
        <x:v>ses_fce071451ffe9bWWpS24QykTT8</x:v>
      </x:c>
    </x:row>
    <x:row r="6">
      <x:c r="A6" s="13" t="str">
        <x:f>'9组明细'!A6</x:f>
        <x:v>native-01</x:v>
      </x:c>
      <x:c r="B6" s="13" t="str">
        <x:f>'9组明细'!B6</x:f>
        <x:v>native</x:v>
      </x:c>
      <x:c r="C6" s="13" t="n">
        <x:f>'9组明细'!C6</x:f>
        <x:v>1</x:v>
      </x:c>
      <x:c r="D6" s="16" t="n">
        <x:f>'9组明细'!H6</x:f>
        <x:v>43</x:v>
      </x:c>
      <x:c r="E6" s="16" t="n">
        <x:f>'9组明细'!I6</x:f>
        <x:v>42</x:v>
      </x:c>
      <x:c r="F6" s="16" t="n">
        <x:f>'9组明细'!J6</x:f>
        <x:v>81001</x:v>
      </x:c>
      <x:c r="G6" s="16" t="n">
        <x:f>'9组明细'!K6</x:f>
        <x:v>13881</x:v>
      </x:c>
      <x:c r="H6" s="16" t="n">
        <x:f>'9组明细'!L6</x:f>
        <x:v>2011048</x:v>
      </x:c>
      <x:c r="I6" s="16" t="n">
        <x:f>'9组明细'!M6</x:f>
        <x:v>94882</x:v>
      </x:c>
      <x:c r="J6" s="17" t="n">
        <x:f>'9组明细'!N6</x:f>
        <x:v>0.16162038</x:v>
      </x:c>
      <x:c r="K6" s="13" t="str">
        <x:f>'9组明细'!Q6</x:f>
        <x:v>ses_fce048966ffeT68ZCUkftJpD0q</x:v>
      </x:c>
    </x:row>
    <x:row r="7">
      <x:c r="A7" s="13" t="str">
        <x:f>'9组明细'!A7</x:f>
        <x:v>pd-vista-01</x:v>
      </x:c>
      <x:c r="B7" s="13" t="str">
        <x:f>'9组明细'!B7</x:f>
        <x:v>pd-vista</x:v>
      </x:c>
      <x:c r="C7" s="13" t="n">
        <x:f>'9组明细'!C7</x:f>
        <x:v>1</x:v>
      </x:c>
      <x:c r="D7" s="16" t="n">
        <x:f>'9组明细'!H7</x:f>
        <x:v>49</x:v>
      </x:c>
      <x:c r="E7" s="16" t="n">
        <x:f>'9组明细'!I7</x:f>
        <x:v>49</x:v>
      </x:c>
      <x:c r="F7" s="16" t="n">
        <x:f>'9组明细'!J7</x:f>
        <x:v>140342</x:v>
      </x:c>
      <x:c r="G7" s="16" t="n">
        <x:f>'9组明细'!K7</x:f>
        <x:v>25912</x:v>
      </x:c>
      <x:c r="H7" s="16" t="n">
        <x:f>'9组明细'!L7</x:f>
        <x:v>2140288</x:v>
      </x:c>
      <x:c r="I7" s="16" t="n">
        <x:f>'9组明细'!M7</x:f>
        <x:v>166254</x:v>
      </x:c>
      <x:c r="J7" s="17" t="n">
        <x:f>'9组明细'!N7</x:f>
        <x:v>0.20161428000000003</x:v>
      </x:c>
      <x:c r="K7" s="13" t="str">
        <x:f>'9组明细'!Q7</x:f>
        <x:v>ses_fce01b06cffeKYy3YO80Z7WFwQ</x:v>
      </x:c>
    </x:row>
    <x:row r="8">
      <x:c r="A8" s="13" t="str">
        <x:f>'9组明细'!A8</x:f>
        <x:v>native-02</x:v>
      </x:c>
      <x:c r="B8" s="13" t="str">
        <x:f>'9组明细'!B8</x:f>
        <x:v>native</x:v>
      </x:c>
      <x:c r="C8" s="13" t="n">
        <x:f>'9组明细'!C8</x:f>
        <x:v>2</x:v>
      </x:c>
      <x:c r="D8" s="16" t="n">
        <x:f>'9组明细'!H8</x:f>
        <x:v>47</x:v>
      </x:c>
      <x:c r="E8" s="16" t="n">
        <x:f>'9组明细'!I8</x:f>
        <x:v>45</x:v>
      </x:c>
      <x:c r="F8" s="16" t="n">
        <x:f>'9组明细'!J8</x:f>
        <x:v>472884</x:v>
      </x:c>
      <x:c r="G8" s="16" t="n">
        <x:f>'9组明细'!K8</x:f>
        <x:v>12383</x:v>
      </x:c>
      <x:c r="H8" s="16" t="n">
        <x:f>'9组明细'!L8</x:f>
        <x:v>3394816</x:v>
      </x:c>
      <x:c r="I8" s="16" t="n">
        <x:f>'9组明细'!M8</x:f>
        <x:v>485267</x:v>
      </x:c>
      <x:c r="J8" s="17" t="n">
        <x:f>'9组明细'!N8</x:f>
        <x:v>0.3604137599999999</x:v>
      </x:c>
      <x:c r="K8" s="13" t="str">
        <x:f>'9组明细'!Q8</x:f>
        <x:v>ses_fcdf9834effeMH4ZhwiVIIx22T</x:v>
      </x:c>
    </x:row>
    <x:row r="9">
      <x:c r="A9" s="13" t="str">
        <x:f>'9组明细'!A9</x:f>
        <x:v>pd-vista-02</x:v>
      </x:c>
      <x:c r="B9" s="13" t="str">
        <x:f>'9组明细'!B9</x:f>
        <x:v>pd-vista</x:v>
      </x:c>
      <x:c r="C9" s="13" t="n">
        <x:f>'9组明细'!C9</x:f>
        <x:v>2</x:v>
      </x:c>
      <x:c r="D9" s="16" t="n">
        <x:f>'9组明细'!H9</x:f>
        <x:v>28</x:v>
      </x:c>
      <x:c r="E9" s="16" t="n">
        <x:f>'9组明细'!I9</x:f>
        <x:v>27</x:v>
      </x:c>
      <x:c r="F9" s="16" t="n">
        <x:f>'9组明细'!J9</x:f>
        <x:v>59695</x:v>
      </x:c>
      <x:c r="G9" s="16" t="n">
        <x:f>'9组明细'!K9</x:f>
        <x:v>12823</x:v>
      </x:c>
      <x:c r="H9" s="16" t="n">
        <x:f>'9组明细'!L9</x:f>
        <x:v>668008</x:v>
      </x:c>
      <x:c r="I9" s="16" t="n">
        <x:f>'9组明细'!M9</x:f>
        <x:v>72518</x:v>
      </x:c>
      <x:c r="J9" s="17" t="n">
        <x:f>'9组明细'!N9</x:f>
        <x:v>0.07337658000000001</x:v>
      </x:c>
      <x:c r="K9" s="13" t="str">
        <x:f>'9组明细'!Q9</x:f>
        <x:v>ses_fcdf57e4effeAPbCybKQIi6Dv6</x:v>
      </x:c>
    </x:row>
    <x:row r="10">
      <x:c r="A10" s="13" t="str">
        <x:f>'9组明细'!A10</x:f>
        <x:v>noskill-02</x:v>
      </x:c>
      <x:c r="B10" s="13" t="str">
        <x:f>'9组明细'!B10</x:f>
        <x:v>noskill</x:v>
      </x:c>
      <x:c r="C10" s="13" t="n">
        <x:f>'9组明细'!C10</x:f>
        <x:v>2</x:v>
      </x:c>
      <x:c r="D10" s="16" t="n">
        <x:f>'9组明细'!H10</x:f>
        <x:v>35</x:v>
      </x:c>
      <x:c r="E10" s="16" t="n">
        <x:f>'9组明细'!I10</x:f>
        <x:v>34</x:v>
      </x:c>
      <x:c r="F10" s="16" t="n">
        <x:f>'9组明细'!J10</x:f>
        <x:v>41115</x:v>
      </x:c>
      <x:c r="G10" s="16" t="n">
        <x:f>'9组明细'!K10</x:f>
        <x:v>15811</x:v>
      </x:c>
      <x:c r="H10" s="16" t="n">
        <x:f>'9组明细'!L10</x:f>
        <x:v>684565</x:v>
      </x:c>
      <x:c r="I10" s="16" t="n">
        <x:f>'9组明细'!M10</x:f>
        <x:v>56926</x:v>
      </x:c>
      <x:c r="J10" s="17" t="n">
        <x:f>'9组明细'!N10</x:f>
        <x:v>0.0723816</x:v>
      </x:c>
      <x:c r="K10" s="13" t="str">
        <x:f>'9组明细'!Q10</x:f>
        <x:v>ses_fcdf33752ffeKY5aH10REay25F</x:v>
      </x:c>
    </x:row>
    <x:row r="11">
      <x:c r="A11" s="13" t="str">
        <x:f>'9组明细'!A11</x:f>
        <x:v>pd-vista-03</x:v>
      </x:c>
      <x:c r="B11" s="13" t="str">
        <x:f>'9组明细'!B11</x:f>
        <x:v>pd-vista</x:v>
      </x:c>
      <x:c r="C11" s="13" t="n">
        <x:f>'9组明细'!C11</x:f>
        <x:v>3</x:v>
      </x:c>
      <x:c r="D11" s="16" t="n">
        <x:f>'9组明细'!H11</x:f>
        <x:v>24</x:v>
      </x:c>
      <x:c r="E11" s="16" t="n">
        <x:f>'9组明细'!I11</x:f>
        <x:v>23</x:v>
      </x:c>
      <x:c r="F11" s="16" t="n">
        <x:f>'9组明细'!J11</x:f>
        <x:v>90015</x:v>
      </x:c>
      <x:c r="G11" s="16" t="n">
        <x:f>'9组明细'!K11</x:f>
        <x:v>11921</x:v>
      </x:c>
      <x:c r="H11" s="16" t="n">
        <x:f>'9组明细'!L11</x:f>
        <x:v>956563</x:v>
      </x:c>
      <x:c r="I11" s="16" t="n">
        <x:f>'9组明细'!M11</x:f>
        <x:v>101936</x:v>
      </x:c>
      <x:c r="J11" s="17" t="n">
        <x:f>'9组明细'!N11</x:f>
        <x:v>0.09870347999999998</x:v>
      </x:c>
      <x:c r="K11" s="13" t="str">
        <x:f>'9组明细'!Q11</x:f>
        <x:v>ses_fcdefd6dcffeXI9ExsVZCv17je</x:v>
      </x:c>
    </x:row>
    <x:row r="12">
      <x:c r="A12" s="13" t="str">
        <x:f>'9组明细'!A12</x:f>
        <x:v>noskill-03</x:v>
      </x:c>
      <x:c r="B12" s="13" t="str">
        <x:f>'9组明细'!B12</x:f>
        <x:v>noskill</x:v>
      </x:c>
      <x:c r="C12" s="13" t="n">
        <x:f>'9组明细'!C12</x:f>
        <x:v>3</x:v>
      </x:c>
      <x:c r="D12" s="16" t="n">
        <x:f>'9组明细'!H12</x:f>
        <x:v>37</x:v>
      </x:c>
      <x:c r="E12" s="16" t="n">
        <x:f>'9组明细'!I12</x:f>
        <x:v>37</x:v>
      </x:c>
      <x:c r="F12" s="16" t="n">
        <x:f>'9组明细'!J12</x:f>
        <x:v>140027</x:v>
      </x:c>
      <x:c r="G12" s="16" t="n">
        <x:f>'9组明细'!K12</x:f>
        <x:v>9770</x:v>
      </x:c>
      <x:c r="H12" s="16" t="n">
        <x:f>'9组明细'!L12</x:f>
        <x:v>2643352</x:v>
      </x:c>
      <x:c r="I12" s="16" t="n">
        <x:f>'9组明细'!M12</x:f>
        <x:v>149797</x:v>
      </x:c>
      <x:c r="J12" s="17" t="n">
        <x:f>'9组明细'!N12</x:f>
        <x:v>0.21233322</x:v>
      </x:c>
      <x:c r="K12" s="13" t="str">
        <x:f>'9组明细'!Q12</x:f>
        <x:v>ses_fcdee0f45ffe30Wnw9qnxjQzwv</x:v>
      </x:c>
    </x:row>
    <x:row r="13">
      <x:c r="A13" s="13" t="str">
        <x:f>'9组明细'!A13</x:f>
        <x:v>native-03</x:v>
      </x:c>
      <x:c r="B13" s="13" t="str">
        <x:f>'9组明细'!B13</x:f>
        <x:v>native</x:v>
      </x:c>
      <x:c r="C13" s="13" t="n">
        <x:f>'9组明细'!C13</x:f>
        <x:v>3</x:v>
      </x:c>
      <x:c r="D13" s="16" t="n">
        <x:f>'9组明细'!H13</x:f>
        <x:v>35</x:v>
      </x:c>
      <x:c r="E13" s="16" t="n">
        <x:f>'9组明细'!I13</x:f>
        <x:v>34</x:v>
      </x:c>
      <x:c r="F13" s="16" t="n">
        <x:f>'9组明细'!J13</x:f>
        <x:v>101689</x:v>
      </x:c>
      <x:c r="G13" s="16" t="n">
        <x:f>'9组明细'!K13</x:f>
        <x:v>13785</x:v>
      </x:c>
      <x:c r="H13" s="16" t="n">
        <x:f>'9组明细'!L13</x:f>
        <x:v>1680141</x:v>
      </x:c>
      <x:c r="I13" s="16" t="n">
        <x:f>'9组明细'!M13</x:f>
        <x:v>115474</x:v>
      </x:c>
      <x:c r="J13" s="17" t="n">
        <x:f>'9组明细'!N13</x:f>
        <x:v>0.14785716</x:v>
      </x:c>
      <x:c r="K13" s="13" t="str">
        <x:f>'9组明细'!Q13</x:f>
        <x:v>ses_fcdeb5b6effek7EQyHzjvRetPA</x:v>
      </x:c>
    </x:row>
    <x:row r="16" ht="22" customHeight="1">
      <x:c r="A16" s="19" t="str">
        <x:v>条件汇总（由逐组明细公式计算）</x:v>
      </x:c>
      <x:c r="B16" s="19" t="str">
        <x:v>条件汇总（由逐组明细公式计算）</x:v>
      </x:c>
      <x:c r="C16" s="19" t="str">
        <x:v>条件汇总（由逐组明细公式计算）</x:v>
      </x:c>
      <x:c r="D16" s="19" t="str">
        <x:v>条件汇总（由逐组明细公式计算）</x:v>
      </x:c>
      <x:c r="E16" s="19" t="str">
        <x:v>条件汇总（由逐组明细公式计算）</x:v>
      </x:c>
      <x:c r="F16" s="19" t="str">
        <x:v>条件汇总（由逐组明细公式计算）</x:v>
      </x:c>
      <x:c r="G16" s="19" t="str">
        <x:v>条件汇总（由逐组明细公式计算）</x:v>
      </x:c>
      <x:c r="H16" s="19" t="str">
        <x:v>条件汇总（由逐组明细公式计算）</x:v>
      </x:c>
      <x:c r="I16" s="19" t="str">
        <x:v>条件汇总（由逐组明细公式计算）</x:v>
      </x:c>
      <x:c r="J16" s="19" t="str">
        <x:v>条件汇总（由逐组明细公式计算）</x:v>
      </x:c>
      <x:c r="K16" s="19" t="str">
        <x:v>条件汇总（由逐组明细公式计算）</x:v>
      </x:c>
    </x:row>
    <x:row r="17">
      <x:c r="A17" s="7" t="str">
        <x:v>条件</x:v>
      </x:c>
      <x:c r="B17" s="7" t="str">
        <x:v>试验数</x:v>
      </x:c>
      <x:c r="C17" s="7" t="str">
        <x:v>通过数</x:v>
      </x:c>
      <x:c r="D17" s="7" t="str">
        <x:v>通过率</x:v>
      </x:c>
      <x:c r="E17" s="7" t="str">
        <x:v>请求数</x:v>
      </x:c>
      <x:c r="F17" s="7" t="str">
        <x:v>工具调用</x:v>
      </x:c>
      <x:c r="G17" s="7" t="str">
        <x:v>输入Token</x:v>
      </x:c>
      <x:c r="H17" s="7" t="str">
        <x:v>输出Token</x:v>
      </x:c>
      <x:c r="I17" s="7" t="str">
        <x:v>缓存读取Token</x:v>
      </x:c>
      <x:c r="J17" s="7" t="str">
        <x:v>输入+输出Token</x:v>
      </x:c>
      <x:c r="K17" s="7" t="str">
        <x:v>DB记录费用</x:v>
      </x:c>
    </x:row>
    <x:row r="18">
      <x:c r="A18" s="20" t="str">
        <x:v>noskill</x:v>
      </x:c>
      <x:c r="B18" s="20" t="n">
        <x:f>COUNTIF($B$5:$B$13,A18)</x:f>
        <x:v>3</x:v>
      </x:c>
      <x:c r="C18" s="20" t="n">
        <x:f>SUMIF($B$5:$B$13,A18,'9组明细'!$E$5:$E$13)</x:f>
        <x:v>3</x:v>
      </x:c>
      <x:c r="D18" s="21" t="n">
        <x:f>IFERROR(C18/B18,0)</x:f>
        <x:v>1</x:v>
      </x:c>
      <x:c r="E18" s="22" t="n">
        <x:f>SUMIF($B$5:$B$13,A18,$D$5:$D$13)</x:f>
        <x:v>100</x:v>
      </x:c>
      <x:c r="F18" s="22" t="n">
        <x:f>SUMIF($B$5:$B$13,A18,$E$5:$E$13)</x:f>
        <x:v>98</x:v>
      </x:c>
      <x:c r="G18" s="22" t="n">
        <x:f>SUMIF($B$5:$B$13,A18,$F$5:$F$13)</x:f>
        <x:v>236385</x:v>
      </x:c>
      <x:c r="H18" s="22" t="n">
        <x:f>SUMIF($B$5:$B$13,A18,$G$5:$G$13)</x:f>
        <x:v>39353</x:v>
      </x:c>
      <x:c r="I18" s="22" t="n">
        <x:f>SUMIF($B$5:$B$13,A18,$H$5:$H$13)</x:f>
        <x:v>4091671</x:v>
      </x:c>
      <x:c r="J18" s="22" t="n">
        <x:f>SUMIF($B$5:$B$13,A18,$I$5:$I$13)</x:f>
        <x:v>275738</x:v>
      </x:c>
      <x:c r="K18" s="23" t="n">
        <x:f>SUMIF($B$5:$B$13,A18,$J$5:$J$13)</x:f>
        <x:v>0.36363935999999997</x:v>
      </x:c>
    </x:row>
    <x:row r="19">
      <x:c r="A19" s="20" t="str">
        <x:v>native</x:v>
      </x:c>
      <x:c r="B19" s="20" t="n">
        <x:f>COUNTIF($B$5:$B$13,A19)</x:f>
        <x:v>3</x:v>
      </x:c>
      <x:c r="C19" s="20" t="n">
        <x:f>SUMIF($B$5:$B$13,A19,'9组明细'!$E$5:$E$13)</x:f>
        <x:v>3</x:v>
      </x:c>
      <x:c r="D19" s="21" t="n">
        <x:f>IFERROR(C19/B19,0)</x:f>
        <x:v>1</x:v>
      </x:c>
      <x:c r="E19" s="22" t="n">
        <x:f>SUMIF($B$5:$B$13,A19,$D$5:$D$13)</x:f>
        <x:v>125</x:v>
      </x:c>
      <x:c r="F19" s="22" t="n">
        <x:f>SUMIF($B$5:$B$13,A19,$E$5:$E$13)</x:f>
        <x:v>121</x:v>
      </x:c>
      <x:c r="G19" s="22" t="n">
        <x:f>SUMIF($B$5:$B$13,A19,$F$5:$F$13)</x:f>
        <x:v>655574</x:v>
      </x:c>
      <x:c r="H19" s="22" t="n">
        <x:f>SUMIF($B$5:$B$13,A19,$G$5:$G$13)</x:f>
        <x:v>40049</x:v>
      </x:c>
      <x:c r="I19" s="22" t="n">
        <x:f>SUMIF($B$5:$B$13,A19,$H$5:$H$13)</x:f>
        <x:v>7086005</x:v>
      </x:c>
      <x:c r="J19" s="22" t="n">
        <x:f>SUMIF($B$5:$B$13,A19,$I$5:$I$13)</x:f>
        <x:v>695623</x:v>
      </x:c>
      <x:c r="K19" s="23" t="n">
        <x:f>SUMIF($B$5:$B$13,A19,$J$5:$J$13)</x:f>
        <x:v>0.6698913</x:v>
      </x:c>
    </x:row>
    <x:row r="20">
      <x:c r="A20" s="20" t="str">
        <x:v>pd-vista</x:v>
      </x:c>
      <x:c r="B20" s="20" t="n">
        <x:f>COUNTIF($B$5:$B$13,A20)</x:f>
        <x:v>3</x:v>
      </x:c>
      <x:c r="C20" s="20" t="n">
        <x:f>SUMIF($B$5:$B$13,A20,'9组明细'!$E$5:$E$13)</x:f>
        <x:v>3</x:v>
      </x:c>
      <x:c r="D20" s="21" t="n">
        <x:f>IFERROR(C20/B20,0)</x:f>
        <x:v>1</x:v>
      </x:c>
      <x:c r="E20" s="22" t="n">
        <x:f>SUMIF($B$5:$B$13,A20,$D$5:$D$13)</x:f>
        <x:v>101</x:v>
      </x:c>
      <x:c r="F20" s="22" t="n">
        <x:f>SUMIF($B$5:$B$13,A20,$E$5:$E$13)</x:f>
        <x:v>99</x:v>
      </x:c>
      <x:c r="G20" s="22" t="n">
        <x:f>SUMIF($B$5:$B$13,A20,$F$5:$F$13)</x:f>
        <x:v>290052</x:v>
      </x:c>
      <x:c r="H20" s="22" t="n">
        <x:f>SUMIF($B$5:$B$13,A20,$G$5:$G$13)</x:f>
        <x:v>50656</x:v>
      </x:c>
      <x:c r="I20" s="22" t="n">
        <x:f>SUMIF($B$5:$B$13,A20,$H$5:$H$13)</x:f>
        <x:v>3764859</x:v>
      </x:c>
      <x:c r="J20" s="22" t="n">
        <x:f>SUMIF($B$5:$B$13,A20,$I$5:$I$13)</x:f>
        <x:v>340708</x:v>
      </x:c>
      <x:c r="K20" s="23" t="n">
        <x:f>SUMIF($B$5:$B$13,A20,$J$5:$J$13)</x:f>
        <x:v>0.37369434</x:v>
      </x:c>
    </x:row>
  </x:sheetData>
  <x:mergeCells>
    <x:mergeCell ref="A1:K1"/>
    <x:mergeCell ref="A3:K3"/>
    <x:mergeCell ref="A16:K16"/>
  </x:mergeCells>
  <x:pageMargins left="0.7" right="0.7" top="0.75" bottom="0.75" header="0.3" footer="0.3"/>
  <x:tableParts count="1">
    <x:tablePart xmlns:r="http://schemas.openxmlformats.org/officeDocument/2006/relationships" r:id="R167ecd5cf08a435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6" hidden="0" customWidth="1"/>
    <x:col min="3" max="3" width="56" hidden="0" customWidth="1"/>
    <x:col min="4" max="4" width="34" hidden="0" customWidth="1"/>
    <x:col min="5" max="5" width="38" hidden="0" customWidth="1"/>
    <x:col min="6" max="6" width="42" hidden="0" customWidth="1"/>
  </x:cols>
  <x:sheetData>
    <x:row r="1" ht="28" customHeight="1">
      <x:c r="A1" s="3" t="str">
        <x:v>方法与流程（task5 本机 OpenCode）</x:v>
      </x:c>
      <x:c r="B1" s="3" t="str">
        <x:v>方法与流程（task5 本机 OpenCode）</x:v>
      </x:c>
      <x:c r="C1" s="3" t="str">
        <x:v>方法与流程（task5 本机 OpenCode）</x:v>
      </x:c>
      <x:c r="D1" s="3" t="str">
        <x:v>方法与流程（task5 本机 OpenCode）</x:v>
      </x:c>
      <x:c r="E1" s="3" t="str">
        <x:v>方法与流程（task5 本机 OpenCode）</x:v>
      </x:c>
      <x:c r="F1" s="3" t="str">
        <x:v>方法与流程（task5 本机 OpenCode）</x:v>
      </x:c>
    </x:row>
    <x:row r="3" ht="22" customHeight="1">
      <x:c r="A3" s="19" t="str">
        <x:v>正式实验协议</x:v>
      </x:c>
      <x:c r="B3" s="19" t="str">
        <x:v>正式实验协议</x:v>
      </x:c>
      <x:c r="C3" s="19" t="str">
        <x:v>正式实验协议</x:v>
      </x:c>
      <x:c r="D3" s="19" t="str">
        <x:v>正式实验协议</x:v>
      </x:c>
      <x:c r="E3" s="19" t="str">
        <x:v>正式实验协议</x:v>
      </x:c>
      <x:c r="F3" s="19" t="str">
        <x:v>正式实验协议</x:v>
      </x:c>
    </x:row>
    <x:row r="4">
      <x:c r="A4" s="7" t="str">
        <x:v>步骤</x:v>
      </x:c>
      <x:c r="B4" s="7" t="str">
        <x:v>协议</x:v>
      </x:c>
      <x:c r="C4" s="7" t="str">
        <x:v>task5 实施</x:v>
      </x:c>
      <x:c r="D4" s="7" t="str">
        <x:v>审计证据</x:v>
      </x:c>
      <x:c r="E4" s="7" t="str">
        <x:v>是否计入正式统计</x:v>
      </x:c>
      <x:c r="F4" s="7" t="str">
        <x:v>中文说明</x:v>
      </x:c>
    </x:row>
    <x:row r="5">
      <x:c r="A5" s="13" t="str">
        <x:v>1</x:v>
      </x:c>
      <x:c r="B5" s="13" t="str">
        <x:v>独立确认任务身份</x:v>
      </x:c>
      <x:c r="C5" s="13" t="str">
        <x:v>task-005 / organize-messy-files</x:v>
      </x:c>
      <x:c r="D5" s="13" t="str">
        <x:v>tasks/pilot/task-005/task.yaml</x:v>
      </x:c>
      <x:c r="E5" s="13" t="str">
        <x:v>是</x:v>
      </x:c>
      <x:c r="F5" s="13" t="str">
        <x:v>确认任务定义、原始输入、Verifier 与 Skill 路径。</x:v>
      </x:c>
    </x:row>
    <x:row r="6">
      <x:c r="A6" s="13" t="str">
        <x:v>2</x:v>
      </x:c>
      <x:c r="B6" s="13" t="str">
        <x:v>Ready 与最小依赖</x:v>
      </x:c>
      <x:c r="C6" s="13" t="str">
        <x:v>100 PDF + 3 Office；项目 .venv 仅补 PyPDF2</x:v>
      </x:c>
      <x:c r="D6" s="13" t="str">
        <x:v>00-readiness/readiness.json</x:v>
      </x:c>
      <x:c r="E6" s="13" t="str">
        <x:v>是</x:v>
      </x:c>
      <x:c r="F6" s="13" t="str">
        <x:v>不安装整套平台依赖；公开入口可收集。</x:v>
      </x:c>
    </x:row>
    <x:row r="7">
      <x:c r="A7" s="13" t="str">
        <x:v>3</x:v>
      </x:c>
      <x:c r="B7" s="13" t="str">
        <x:v>无容器本机路线</x:v>
      </x:c>
      <x:c r="C7" s="13" t="str">
        <x:v>直接调用 OpenCode 1.18.18 / MiniMax-M3</x:v>
      </x:c>
      <x:c r="D7" s="13" t="str">
        <x:v>launcher 与 DB</x:v>
      </x:c>
      <x:c r="E7" s="13" t="str">
        <x:v>是</x:v>
      </x:c>
      <x:c r="F7" s="13" t="str">
        <x:v>Docker=false，SkillBench route=false。</x:v>
      </x:c>
    </x:row>
    <x:row r="8">
      <x:c r="A8" s="13" t="str">
        <x:v>4</x:v>
      </x:c>
      <x:c r="B8" s="13" t="str">
        <x:v>3×3 平衡交错</x:v>
      </x:c>
      <x:c r="C8" s="13" t="str">
        <x:v>1N-1Native-1PDV-2Native-2PDV-2N-3PDV-3N-3Native</x:v>
      </x:c>
      <x:c r="D8" s="13" t="str">
        <x:v>group-summary.schedule</x:v>
      </x:c>
      <x:c r="E8" s="13" t="str">
        <x:v>是</x:v>
      </x:c>
      <x:c r="F8" s="13" t="str">
        <x:v>沿用 task1 的平衡交错顺序。</x:v>
      </x:c>
    </x:row>
    <x:row r="9">
      <x:c r="A9" s="13" t="str">
        <x:v>5</x:v>
      </x:c>
      <x:c r="B9" s="13" t="str">
        <x:v>完全隔离</x:v>
      </x:c>
      <x:c r="C9" s="13" t="str">
        <x:v>工作区、Verifier 副本、OpenCode 状态、session 均独立</x:v>
      </x:c>
      <x:c r="D9" s="13" t="str">
        <x:v>9 个 result.json + 9 DB</x:v>
      </x:c>
      <x:c r="E9" s="13" t="str">
        <x:v>是</x:v>
      </x:c>
      <x:c r="F9" s="13" t="str">
        <x:v>只共享依赖缓存与只读 auth store。</x:v>
      </x:c>
    </x:row>
    <x:row r="10">
      <x:c r="A10" s="13" t="str">
        <x:v>6</x:v>
      </x:c>
      <x:c r="B10" s="13" t="str">
        <x:v>条件暴露</x:v>
      </x:c>
      <x:c r="C10" s="13" t="str">
        <x:v>No-Skill 无模块；Native 全模块；PD 仅 VISTA.md</x:v>
      </x:c>
      <x:c r="D10" s="13" t="str">
        <x:v>initially_available_modules</x:v>
      </x:c>
      <x:c r="E10" s="13" t="str">
        <x:v>是</x:v>
      </x:c>
      <x:c r="F10" s="13" t="str">
        <x:v>三种条件只差 Skill 暴露方式。</x:v>
      </x:c>
    </x:row>
    <x:row r="11">
      <x:c r="A11" s="13" t="str">
        <x:v>7</x:v>
      </x:c>
      <x:c r="B11" s="13" t="str">
        <x:v>公开反馈与路由</x:v>
      </x:c>
      <x:c r="C11" s="13" t="str">
        <x:v>每轮清洗 Verifier 输出；PD 每轮最多披露 1 个相关模块</x:v>
      </x:c>
      <x:c r="D11" s="13" t="str">
        <x:v>turn-N + disclosure_events</x:v>
      </x:c>
      <x:c r="E11" s="13" t="str">
        <x:v>是</x:v>
      </x:c>
      <x:c r="F11" s="13" t="str">
        <x:v>失败后同一 session 继续修复。</x:v>
      </x:c>
    </x:row>
    <x:row r="12">
      <x:c r="A12" s="13" t="str">
        <x:v>8</x:v>
      </x:c>
      <x:c r="B12" s="13" t="str">
        <x:v>超时容错</x:v>
      </x:c>
      <x:c r="C12" s="13" t="str">
        <x:v>420 秒单轮、6 轮；先验收落盘文件</x:v>
      </x:c>
      <x:c r="D12" s="13" t="str">
        <x:v>model_turn_timeout + final verifier</x:v>
      </x:c>
      <x:c r="E12" s="13" t="str">
        <x:v>是</x:v>
      </x:c>
      <x:c r="F12" s="13" t="str">
        <x:v>PD-VISTA-01 首轮超时但最终通过。</x:v>
      </x:c>
    </x:row>
    <x:row r="13">
      <x:c r="A13" s="13" t="str">
        <x:v>9</x:v>
      </x:c>
      <x:c r="B13" s="13" t="str">
        <x:v>429/零请求</x:v>
      </x:c>
      <x:c r="C13" s="13" t="str">
        <x:v>仅结构化 HTTP 429/配额响应可隔离重跑</x:v>
      </x:c>
      <x:c r="D13" s="13" t="str">
        <x:v>excluded_attempts</x:v>
      </x:c>
      <x:c r="E13" s="13" t="str">
        <x:v>否</x:v>
      </x:c>
      <x:c r="F13" s="13" t="str">
        <x:v>正式批次无真实 429；控制器误判另列。</x:v>
      </x:c>
    </x:row>
    <x:row r="14">
      <x:c r="A14" s="13" t="str">
        <x:v>10</x:v>
      </x:c>
      <x:c r="B14" s="13" t="str">
        <x:v>后验审计</x:v>
      </x:c>
      <x:c r="C14" s="13" t="str">
        <x:v>只读查询每个 opencode.db</x:v>
      </x:c>
      <x:c r="D14" s="13" t="str">
        <x:v>posthoc-audit.json</x:v>
      </x:c>
      <x:c r="E14" s="13" t="str">
        <x:v>是</x:v>
      </x:c>
      <x:c r="F14" s="13" t="str">
        <x:v>确认 provider/model、Token、费用与唯一 session。</x:v>
      </x:c>
    </x:row>
    <x:row r="17" ht="22" customHeight="1">
      <x:c r="A17" s="19" t="str">
        <x:v>Verifier 本机适配与公开诊断清洗规则</x:v>
      </x:c>
      <x:c r="B17" s="19" t="str">
        <x:v>Verifier 本机适配与公开诊断清洗规则</x:v>
      </x:c>
      <x:c r="C17" s="19" t="str">
        <x:v>Verifier 本机适配与公开诊断清洗规则</x:v>
      </x:c>
      <x:c r="D17" s="19" t="str">
        <x:v>Verifier 本机适配与公开诊断清洗规则</x:v>
      </x:c>
      <x:c r="E17" s="19" t="str">
        <x:v>Verifier 本机适配与公开诊断清洗规则</x:v>
      </x:c>
      <x:c r="F17" s="19" t="str">
        <x:v>Verifier 本机适配与公开诊断清洗规则</x:v>
      </x:c>
    </x:row>
    <x:row r="18">
      <x:c r="A18" s="7" t="str">
        <x:v>项目</x:v>
      </x:c>
      <x:c r="B18" s="7" t="str">
        <x:v>执行规则</x:v>
      </x:c>
      <x:c r="C18" s="7" t="str">
        <x:v>本机适配</x:v>
      </x:c>
      <x:c r="D18" s="7" t="str">
        <x:v>模型可见内容</x:v>
      </x:c>
      <x:c r="E18" s="7" t="str">
        <x:v>不回灌内容</x:v>
      </x:c>
      <x:c r="F18" s="7" t="str">
        <x:v>说明</x:v>
      </x:c>
    </x:row>
    <x:row r="19">
      <x:c r="A19" s="13" t="str">
        <x:v>完整 Verifier</x:v>
      </x:c>
      <x:c r="B19" s="13" t="str">
        <x:v>每轮执行原始 8 测试断言</x:v>
      </x:c>
      <x:c r="C19" s="13" t="str">
        <x:v>仅将 Path("/logs/verifier") 别名到 .verifier-logs；断言与映射不变</x:v>
      </x:c>
      <x:c r="D19" s="13" t="str">
        <x:v>通过/失败、缺失/错位/可读性类别</x:v>
      </x:c>
      <x:c r="E19" s="13" t="str">
        <x:v>私有控制器状态与工作区外路径</x:v>
      </x:c>
      <x:c r="F19" s="13" t="str">
        <x:v>macOS /logs 只读问题已隔离修正。</x:v>
      </x:c>
    </x:row>
    <x:row r="20">
      <x:c r="A20" s="13" t="str">
        <x:v>公开诊断</x:v>
      </x:c>
      <x:c r="B20" s="13" t="str">
        <x:v>筛选 failed/error/missing/wrong/duplicate/unreadable 等行</x:v>
      </x:c>
      <x:c r="C20" s="13" t="str">
        <x:v>绝对路径归一化为 &lt;local-path&gt;</x:v>
      </x:c>
      <x:c r="D20" s="13" t="str">
        <x:v>安全失败摘要</x:v>
      </x:c>
      <x:c r="E20" s="13" t="str">
        <x:v>完整堆栈、内部 DB、密钥</x:v>
      </x:c>
      <x:c r="F20" s="13" t="str">
        <x:v>保持 task1 同类的诊断清洗。</x:v>
      </x:c>
    </x:row>
    <x:row r="21">
      <x:c r="A21" s="13" t="str">
        <x:v>PD 路由</x:v>
      </x:c>
      <x:c r="B21" s="13" t="str">
        <x:v>manifest triggers + previous_modules</x:v>
      </x:c>
      <x:c r="C21" s="13" t="str">
        <x:v>DisclosureRouter max_modules_per_decision=1</x:v>
      </x:c>
      <x:c r="D21" s="13" t="str">
        <x:v>披露模块路径与下一轮读取指令</x:v>
      </x:c>
      <x:c r="E21" s="13" t="str">
        <x:v>未披露模块正文</x:v>
      </x:c>
      <x:c r="F21" s="13" t="str">
        <x:v>触发—披露—下一轮访问—通过形成闭环。</x:v>
      </x:c>
    </x:row>
    <x:row r="22">
      <x:c r="A22" s="13" t="str">
        <x:v>限流判定</x:v>
      </x:c>
      <x:c r="B22" s="13" t="str">
        <x:v>结构化 status_code=429 / rate_limit_error / 明确配额</x:v>
      </x:c>
      <x:c r="C22" s="13" t="str">
        <x:v>排除并新 workspace/session 串行重跑</x:v>
      </x:c>
      <x:c r="D22" s="13" t="str">
        <x:v>不作为任务失败</x:v>
      </x:c>
      <x:c r="E22" s="13" t="str">
        <x:v>普通论文正文中的“rate limitation”</x:v>
      </x:c>
      <x:c r="F22" s="13" t="str">
        <x:v>避免控制器误判。</x:v>
      </x:c>
    </x:row>
    <x:row r="23">
      <x:c r="A23" s="13" t="str">
        <x:v>可读性</x:v>
      </x:c>
      <x:c r="B23" s="13" t="str">
        <x:v>PDF PyPDF2、Office ZIP 容器</x:v>
      </x:c>
      <x:c r="C23" s="13" t="str">
        <x:v>项目 .venv PyPDF2==3.0.1</x:v>
      </x:c>
      <x:c r="D23" s="13" t="str">
        <x:v>最终通过/失败</x:v>
      </x:c>
      <x:c r="E23" s="13" t="str">
        <x:v>oracle solution</x:v>
      </x:c>
      <x:c r="F23" s="13" t="str">
        <x:v>每组最终 8/8 通过。</x:v>
      </x:c>
    </x:row>
  </x:sheetData>
  <x:mergeCells>
    <x:mergeCell ref="A1:F1"/>
    <x:mergeCell ref="A3:F3"/>
    <x:mergeCell ref="A17:F1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3" max="3" width="24" hidden="0" customWidth="1"/>
    <x:col min="4" max="4" width="38" hidden="0" customWidth="1"/>
    <x:col min="5" max="5" width="48" hidden="0" customWidth="1"/>
    <x:col min="6" max="6" width="34" hidden="0" customWidth="1"/>
  </x:cols>
  <x:sheetData>
    <x:row r="1" ht="28" customHeight="1">
      <x:c r="A1" s="3" t="str">
        <x:v>三种条件及失败反馈的原始提示词与中文说明</x:v>
      </x:c>
      <x:c r="B1" s="3" t="str">
        <x:v>三种条件及失败反馈的原始提示词与中文说明</x:v>
      </x:c>
      <x:c r="C1" s="3" t="str">
        <x:v>三种条件及失败反馈的原始提示词与中文说明</x:v>
      </x:c>
      <x:c r="D1" s="3" t="str">
        <x:v>三种条件及失败反馈的原始提示词与中文说明</x:v>
      </x:c>
      <x:c r="E1" s="3" t="str">
        <x:v>三种条件及失败反馈的原始提示词与中文说明</x:v>
      </x:c>
      <x:c r="F1" s="3" t="str">
        <x:v>三种条件及失败反馈的原始提示词与中文说明</x:v>
      </x:c>
    </x:row>
    <x:row r="3" ht="22" customHeight="1">
      <x:c r="A3" s="19" t="str">
        <x:v>首轮原始提示词</x:v>
      </x:c>
      <x:c r="B3" s="19" t="str">
        <x:v>首轮原始提示词</x:v>
      </x:c>
      <x:c r="C3" s="19" t="str">
        <x:v>首轮原始提示词</x:v>
      </x:c>
      <x:c r="D3" s="19" t="str">
        <x:v>首轮原始提示词</x:v>
      </x:c>
      <x:c r="E3" s="19" t="str">
        <x:v>首轮原始提示词</x:v>
      </x:c>
      <x:c r="F3" s="19" t="str">
        <x:v>首轮原始提示词</x:v>
      </x:c>
    </x:row>
    <x:row r="4">
      <x:c r="A4" s="7" t="str">
        <x:v>条件</x:v>
      </x:c>
      <x:c r="B4" s="7" t="str">
        <x:v>原始首轮提示词（英文）</x:v>
      </x:c>
      <x:c r="C4" s="7" t="str">
        <x:v>中文说明</x:v>
      </x:c>
      <x:c r="D4" s="7" t="str">
        <x:v>失败反馈类型</x:v>
      </x:c>
      <x:c r="E4" s="7" t="str">
        <x:v>首个公开诊断（英文原文）</x:v>
      </x:c>
      <x:c r="F4" s="7" t="str">
        <x:v>同一 session 下一轮原始提示词</x:v>
      </x:c>
    </x:row>
    <x:row r="5">
      <x:c r="A5" s="13" t="str">
        <x:v>noskill</x:v>
      </x:c>
      <x:c r="B5" s="13" t="str">
        <x:v>Solve the isolated organize-messy-files task in this working directory. Work only inside this directory and do not access parent or external directories. First read task.md and inventory all local input files. Organize every supplied PDF, PPTX, and DOCX into exactly one of the five requested subject folders, preserving file names and file contents. Use only local tools and local task materials; do not fetch data or install libraries. You may run the public verifier only through the controller. The controller will run the complete acceptance verifier after each turn and may return a cleaned public diagnostic for repair. No task Skill is available in this condition; solve from task.md and the local files only.</x:v>
      </x:c>
      <x:c r="C5" s="13" t="str">
        <x:v>No-Skill：不提供任务 Skill，仅使用任务说明与本地文件。</x:v>
      </x:c>
      <x:c r="D5" s="13" t="str">
        <x:v>未触发（首轮通过）</x:v>
      </x:c>
      <x:c r="E5" s="13" t="str">
        <x:v>无；该条件的有效重复均首轮通过。</x:v>
      </x:c>
      <x:c r="F5" s="13" t="str">
        <x:v>未触发；不需要修复轮。</x:v>
      </x:c>
    </x:row>
    <x:row r="6">
      <x:c r="A6" s="13" t="str">
        <x:v>native</x:v>
      </x:c>
      <x:c r="B6" s="13" t="str">
        <x:v>Solve the isolated organize-messy-files task in this working directory. Work only inside this directory and do not access parent or external directories. First read task.md and inventory all local input files. Organize every supplied PDF, PPTX, and DOCX into exactly one of the five requested subject folders, preserving file names and file contents. Use only local tools and local task materials; do not fetch data or install libraries. You may run the public verifier only through the controller. The controller will run the complete acceptance verifier after each turn and may return a cleaned public diagnostic for repair. The complete original guidance modules are available under ./modules/&lt;module-id&gt;/SKILL.md; read and use the relevant modules.</x:v>
      </x:c>
      <x:c r="C6" s="13" t="str">
        <x:v>Native：首轮前完整提供 5 个原始指导模块。</x:v>
      </x:c>
      <x:c r="D6" s="13" t="str">
        <x:v>incomplete_output</x:v>
      </x:c>
      <x:c r="E6" s="13" t="str">
        <x:v>=================================== FAILURES ===================================
assert folder.is_dir(), f"Missing subject folder: {folder}"
missing = expected - actual
&gt;           assert not missing, f"Missing {label} in {folder}: {sorted(missing)}"
E           AssertionError: Missing papers in &lt;local-path&gt;: ['1909.05563v1.pdf']
E           assert not {'1909.05563v1.pdf'}
../verifier/test_outputs.py:323: AssertionError
wrong_subject = []
wrong_subject.append((normalized, subject, expected_subject))
missing = expected_names - actual_names
duplicates = {name: count for name, count in counts_by_name.items() if count &gt; 1}
assert not missing, f"Some expected files were not sorted into subject folders: {sorted(missing)}"
&gt;       assert not wrong_subject, f"Found files in the wrong subject: {wrong_subject}"
E       AssertionError: Found files in the wrong subject: [('1909.05563v1.pdf', 'trapped_ion_and_qc', 'DNA')]
E       assert not [('1909.05563v1.pdf', 'trapped_ion_and_qc', 'DNA')]
../verifier/test_outputs.py:354: AssertionError
PASSED ../verifier/test_outputs.py::test_expected_files_present_in_each_folder[presentations-expected_map1-.pptx-normalize_filename]
PASSED ../verifier/test_outputs.py::test_expected_files_present_in_each_folder[Word docs-expected_map2-.docx-normalize_filename]
PASSED ../verifier/test_outputs.py::test_no_leftover_expected_files_in_unsorted_folder
PASSED ../verifier/test_outputs.py::test_no_allowed_files_outside_subject_folders
PASSED ../verifier/test_outputs.py::test_no_unexpected_file_types_in_subject_folders
PASSED ../verifier/test_outputs.py::test_all_files_are_readable
FAILED ../verifier/test_outputs.py::test_expected_files_present_in_each_folder[papers-expected_map0-.pdf-normalize_pdf_name]
FAILED ../verifier/test_outputs.py::test_all_files_sorted_once_and_in_correct_subject
2 failed, 6 passed, 1 warning in 1.00s</x:v>
      </x:c>
      <x:c r="F6" s="13" t="str">
        <x:v>A public local check failed with incomplete_output. Public diagnostic:
=================================== FAILURES ===================================
assert folder.is_dir(), f"Missing subject folder: {folder}"
missing = expected - actual
&gt;           assert not missing, f"Missing {label} in {folder}: {sorted(missing)}"
E           AssertionError: Missing papers in &lt;local-path&gt;: ['1909.05563v1.pdf']
E           assert not {'1909.05563v1.pdf'}
../verifier/test_outputs.py:323: AssertionError
wrong_subject = []
wrong_subject.append((normalized, subject, expected_subject))
missing = expected_names - actual_names
duplicates = {name: count for name, count in counts_by_name.items() if count &gt; 1}
assert not missing, f"Some expected files were not sorted into subject folders: {sorted(missing)}"
&gt;       assert not wrong_subject, f"Found files in the wrong subject: {wrong_subject}"
E       AssertionError: Found files in the wrong subject: [('1909.05563v1.pdf', 'trapped_ion_and_qc', 'DNA')]
E       assert not [('1909.05563v1.pdf', 'trapped_ion_and_qc', 'DNA')]
../verifier/test_outputs.py:354: AssertionError
PASSED ../verifier/test_outputs.py::test_expected_files_present_in_each_folder[presentations-expected_map1-.pptx-normalize_filename]
PASSED ../verifier/test_outputs.py::test_expected_files_present_in_each_folder[Word docs-expected_map2-.docx-normalize_filename]
PASSED ../verifier/test_outputs.py::test_no_leftover_expected_files_in_unsorted_folder
PASSED ../verifier/test_outputs.py::test_no_allowed_files_outside_subject_folders
PASSED ../verifier/test_outputs.py::test_no_unexpected_file_types_in_subject_folders
PASSED ../verifier/test_outputs.py::test_all_files_are_readable
FAILED ../verifier/test_outputs.py::test_expected_files_present_in_each_folder[papers-expected_map0-.pdf-normalize_pdf_name]
FAILED ../verifier/test_outputs.py::test_all_files_sorted_once_and_in_correct_subject
2 failed, 6 passed, 1 warning in 1.00s
Use the original modules already available under ./modules/. Continue in the same OpenCode session, work only inside this directory, repair the five subject folders, preserve file names and contents, and let the controller rerun the complete public verifier.</x:v>
      </x:c>
    </x:row>
    <x:row r="7">
      <x:c r="A7" s="13" t="str">
        <x:v>pd-vista</x:v>
      </x:c>
      <x:c r="B7" s="13" t="str">
        <x:v>Solve the isolated organize-messy-files task in this working directory. Work only inside this directory and do not access parent or external directories. First read task.md and inventory all local input files. Organize every supplied PDF, PPTX, and DOCX into exactly one of the five requested subject folders, preserving file names and file contents. Use only local tools and local task materials; do not fetch data or install libraries. You may run the public verifier only through the controller. The controller will run the complete acceptance verifier after each turn and may return a cleaned public diagnostic for repair. Read VISTA.md. Original guidance modules are initially hidden; after a public verifier failure, VISTA may disclose at most one relevant module under ./modules/&lt;module-id&gt;/SKILL.md. Read any disclosed module before the next repair turn.</x:v>
      </x:c>
      <x:c r="C7" s="13" t="str">
        <x:v>PD-VISTA：首轮仅给 VISTA.md；公开失败后单轮最多披露一个相关模块。</x:v>
      </x:c>
      <x:c r="D7" s="13" t="str">
        <x:v>incomplete_output</x:v>
      </x:c>
      <x:c r="E7" s="13" t="str">
        <x:v>=================================== FAILURES ===================================
assert folder.is_dir(), f"Missing subject folder: {folder}"
missing = expected - actual
&gt;           assert not missing, f"Missing {label} in {folder}: {sorted(missing)}"
E           AssertionError: Missing papers in &lt;local-path&gt;: ['2306.08568v2.pdf', '2308.16149v2.pdf', '2310.00034v2.pdf', '2311.01825v2.pdf', '2312.10793v3.pdf', '2312.13585v1.pdf', '2401.10034v3.pdf', '2402.11651v2.pdf', '2403.07378v5.pdf', '2405.17104v2.pdf', '2405.19266v4.pdf', '2407.07093v1.pdf', '2407.12036v2.pdf', '2409.11272v7.pdf', '2410.03129v2.pdf', '2502.18036v5.pdf', '2502.21321v2.pdf', '2503.12340v1.pdf', '2504.10415v2.pdf', '2510.18339v1.pdf']
E           assert not {'2306.08568v2.pdf', '2308.16149v2.pdf', '2310.00034v2.pdf', '2311.01825v2.pdf', '2312.10793v3.pdf', '2312.13585v1.pdf', ...}
../verifier/test_outputs.py:323: AssertionError
E           AssertionError: Missing presentations in &lt;local-path&gt;: ['DAMOP.pptx']
E           assert not {'DAMOP.pptx'}
E           AssertionError: Missing Word docs in &lt;local-path&gt;: ['paper_file_1.docx', 'paper_file_2.docx']
E           assert not {'paper_file_1.docx', 'paper_file_2.docx'}
wrong_subject = []
wrong_subject.append((normalized, subject, expected_subject))
missing = expected_names - actual_names
duplicates = {name: count for name, count in counts_by_name.items() if count &gt; 1}
&gt;       assert not missing, f"Some expected files were not sorted into subject folders: {sorted(missing)}"
E       AssertionError: Some expected files were not sorted into subject folders: ['0704.0117v1.pdf', '0707.1221v1.pdf', '0707.3224v1.pdf', '0710.4345v1.pdf', '0711.1406v1.pdf', '0809.1063v1.pdf', '0810.0078v2.pdf', '0901.0603v2.pdf', '0905.4129v3.pdf', '0907.2248v2.pdf', '0907.4819v1.pdf', '1002.2759v1.pdf', '1011.5614v2.pdf', '1101.5182v2.pdf', '1109.4653v1.pdf', '1202.2518v4.pdf', '1205.5651v1.pdf', '1210.7091v2.pdf', '1306.5298v2.pdf', '1308.3843v1.pdf', '1309.3658v2.pdf', '1311.5931v2.pdf', '1312.2849v3.pdf', '1401.4725v1.pdf', '1402.5127v3.pdf', '1403.1523v2.pdf', '1403.4513v1.pdf', '1404.2126v1.pdf', '1411.1974v2.pdf', '1501.07133v2.pdf', '1502.05417v1.pdf', '1502.07298v1.pdf', '1511.08445v1.pdf', '1607.00266v1.pdf', '1609.05333v2.pdf', '1708.07404v3.pdf', '1712.05683v3.pdf', '1804.04839v1.pdf', '1807.00924v2.pdf', '1808.04531v1.pdf', '1901.01045v1.pdf', '1901.01149v1.pdf', '1902.00206v1.pdf', '1904.04178v1.pdf', '1904.10193v2.pdf', '1907.04292v1.pdf', '1908.10275v1.pdf', '1909.05563v1.pdf', '1909.06259v1.pdf', '1911.10219v2.pdf', '2005.11841v3.pdf', '2007.07950v2.pdf', '2011.02460v1.pdf', '2012.02117v1.pdf', '2103.05832v2.pdf', '2105.03431v1.pdf', '2205.14860v1.pdf', '2206.06546v1.pdf', '2206.07754v1.pdf', '2207.01964v4.pdf', '2303.07661v1.pdf', '2305.12773v1.pdf', '2306.08568v2.pdf', '2308.03224v1.pdf', '2308.16149v2.pdf', '2309.09686v1.pdf', '2310.00034v2.pdf', '2311.01825v2.pdf', '2311.17557v1.pdf', '2312.08588v3.pdf', '2312.10793v3.pdf', '2312.13585v1.pdf', '2312.14036v1.pdf', '2401.10034v3.pdf', '2402.06079v2.pdf', '2402.11651v2.pdf', '2403.07378v5.pdf', '2404.11572v1.pdf', '2405.07574v1.pdf', '2405.17104v2.pdf', '2405.19266v4.pdf', '2407.07093v1.pdf', '2407.12036v2.pdf', '2408.08127v1.pdf', '2408.12633v1.pdf', '2409.11272v7.pdf', '2409.15949v1.pdf', '2410.03129v2.pdf', '2411.04734v2.pdf', '2411.16408v1.pdf', '2501.07557v1.pdf', '2501.14424v2.pdf', '2502.18036v5.pdf', '2502.21321v2.pdf', '2503.12340v1.pdf', '2504.10415v2.pdf', '2505.00035v1.pdf', '2506.14877v1.pdf', '2510.00990v1.pdf', '2510.18339v1.pdf', 'DAMOP.pptx', 'paper_file_1.docx', 'paper_file_2.docx']
E       assert not {'0704.0117v1.pdf', '0707.1221v1.pdf', '0707.3224v1.pdf', '0710.4345v1.pdf', '0711.1406v1.pdf', '0809.1063v1.pdf', ...}
../verifier/test_outputs.py:353: AssertionError
PASSED ../verifier/test_outputs.py::test_no_leftover_expected_files_in_unsorted_folder
PASSED ../verifier/test_outputs.py::test_no_allowed_files_outside_subject_folders
PASSED ../verifier/test_outputs.py::test_no_unexpected_file_types_in_subject_folders
PASSED ../verifier/test_outputs.py::test_all_files_are_readable
FAILED ../verifier/test_outputs.py::test_expected_files_present_in_each_folder[papers-expected_map0-.pdf-normalize_pdf_name]
FAILED ../verifier/test_outputs.py::test_expected_files_present_in_each_folder[presentations-expected_map1-.pptx-normalize_filename]
FAILED ../verifier/test_outputs.py::test_expected_files_present_in_each_folder[Word docs-expected_map2-.docx-normalize_filename]
FAILED ../verifier/test_outputs.py::test_all_files_sorted_once_and_in_correct_subject
4 failed, 4 passed, 1 warning in 0.17s</x:v>
      </x:c>
      <x:c r="F7" s="13" t="str">
        <x:v>A public local check failed with incomplete_output. Public diagnostic:
=================================== FAILURES ===================================
assert folder.is_dir(), f"Missing subject folder: {folder}"
missing = expected - actual
&gt;           assert not missing, f"Missing {label} in {folder}: {sorted(missing)}"
E           AssertionError: Missing papers in &lt;local-path&gt;: ['2306.08568v2.pdf', '2308.16149v2.pdf', '2310.00034v2.pdf', '2311.01825v2.pdf', '2312.10793v3.pdf', '2312.13585v1.pdf', '2401.10034v3.pdf', '2402.11651v2.pdf', '2403.07378v5.pdf', '2405.17104v2.pdf', '2405.19266v4.pdf', '2407.07093v1.pdf', '2407.12036v2.pdf', '2409.11272v7.pdf', '2410.03129v2.pdf', '2502.18036v5.pdf', '2502.21321v2.pdf', '2503.12340v1.pdf', '2504.10415v2.pdf', '2510.18339v1.pdf']
E           assert not {'2306.08568v2.pdf', '2308.16149v2.pdf', '2310.00034v2.pdf', '2311.01825v2.pdf', '2312.10793v3.pdf', '2312.13585v1.pdf', ...}
../verifier/test_outputs.py:323: AssertionError
E           AssertionError: Missing presentations in &lt;local-path&gt;: ['DAMOP.pptx']
E           assert not {'DAMOP.pptx'}
E           AssertionError: Missing Word docs in &lt;local-path&gt;: ['paper_file_1.docx', 'paper_file_2.docx']
E           assert not {'paper_file_1.docx', 'paper_file_2.docx'}
wrong_subject = []
wrong_subject.append((normalized, subject, expected_subject))
missing = expected_names - actual_names
duplicates = {name: count for name, count in counts_by_name.items() if count &gt; 1}
&gt;       assert not missing, f"Some expected files were not sorted into subject folders: {sorted(missing)}"
E       AssertionError: Some expected files were not sorted into subject folders: ['0704.0117v1.pdf', '0707.1221v1.pdf', '0707.3224v1.pdf', '0710.4345v1.pdf', '0711.1406v1.pdf', '0809.1063v1.pdf', '0810.0078v2.pdf', '0901.0603v2.pdf', '0905.4129v3.pdf', '0907.2248v2.pdf', '0907.4819v1.pdf', '1002.2759v1.pdf', '1011.5614v2.pdf', '1101.5182v2.pdf', '1109.4653v1.pdf', '1202.2518v4.pdf', '1205.5651v1.pdf', '1210.7091v2.pdf', '1306.5298v2.pdf', '1308.3843v1.pdf', '1309.3658v2.pdf', '1311.5931v2.pdf', '1312.2849v3.pdf', '1401.4725v1.pdf', '1402.5127v3.pdf', '1403.1523v2.pdf', '1403.4513v1.pdf', '1404.2126v1.pdf', '1411.1974v2.pdf', '1501.07133v2.pdf', '1502.05417v1.pdf', '1502.07298v1.pdf', '1511.08445v1.pdf', '1607.00266v1.pdf', '1609.05333v2.pdf', '1708.07404v3.pdf', '1712.05683v3.pdf', '1804.04839v1.pdf', '1807.00924v2.pdf', '1808.04531v1.pdf', '1901.01045v1.pdf', '1901.01149v1.pdf', '1902.00206v1.pdf', '1904.04178v1.pdf', '1904.10193v2.pdf', '1907.04292v1.pdf', '1908.10275v1.pdf', '1909.05563v1.pdf', '1909.06259v1.pdf', '1911.10219v2.pdf', '2005.11841v3.pdf', '2007.07950v2.pdf', '2011.02460v1.pdf', '2012.02117v1.pdf', '2103.05832v2.pdf', '2105.03431v1.pdf', '2205.14860v1.pdf', '2206.06546v1.pdf', '2206.07754v1.pdf', '2207.01964v4.pdf', '2303.07661v1.pdf', '2305.12773v1.pdf', '2306.08568v2.pdf', '2308.03224v1.pdf', '2308.16149v2.pdf', '2309.09686v1.pdf', '2310.00034v2.pdf', '2311.01825v2.pdf', '2311.17557v1.pdf', '2312.08588v3.pdf', '2312.10793v3.pdf', '2312.13585v1.pdf', '2312.14036v1.pdf', '2401.10034v3.pdf', '2402.06079v2.pdf', '2402.11651v2.pdf', '2403.07378v5.pdf', '2404.11572v1.pdf', '2405.07574v1.pdf', '2405.17104v2.pdf', '2405.19266v4.pdf', '2407.07093v1.pdf', '2407.12036v2.pdf', '2408.08127v1.pdf', '2408.12633v1.pdf', '2409.11272v7.pdf', '2409.15949v1.pdf', '2410.03129v2.pdf', '2411.04734v2.pdf', '2411.16408v1.pdf', '2501.07557v1.pdf', '2501.14424v2.pdf', '2502.18036v5.pdf', '2502.21321v2.pdf', '2503.12340v1.pdf', '2504.10415v2.pdf', '2505.00035v1.pdf', '2506.14877v1.pdf', '2510.00990v1.pdf', '2510.18339v1.pdf', 'DAMOP.pptx', 'paper_file_1.docx', 'paper_file_2.docx']
E       assert not {'0704.0117v1.pdf', '0707.1221v1.pdf', '0707.3224v1.pdf', '0710.4345v1.pdf', '0711.1406v1.pdf', '0809.1063v1.pdf', ...}
../verifier/test_outputs.py:353: AssertionError
PASSED ../verifier/test_outputs.py::test_no_leftover_expected_files_in_unsorted_folder
PASSED ../verifier/test_outputs.py::test_no_allowed_files_outside_subject_folders
PASSED ../verifier/test_outputs.py::test_no_unexpected_file_types_in_subject_folders
PASSED ../verifier/test_outputs.py::test_all_files_are_readable
FAILED ../verifier/test_outputs.py::test_expected_files_present_in_each_folder[papers-expected_map0-.pdf-normalize_pdf_name]
FAILED ../verifier/test_outputs.py::test_expected_files_present_in_each_folder[presentations-expected_map1-.pptx-normalize_filename]
FAILED ../verifier/test_outputs.py::test_expected_files_present_in_each_folder[Word docs-expected_map2-.docx-normalize_filename]
FAILED ../verifier/test_outputs.py::test_all_files_sorted_once_and_in_correct_subject
4 failed, 4 passed, 1 warning in 0.17s
VISTA disclosed ./modules/planning-with-files/SKILL.md. Read it before repairing. Continue in the same OpenCode session, work only inside this directory, repair the five subject folders, preserve file names and contents, and let the controller rerun the complete public verifier.</x:v>
      </x:c>
    </x:row>
    <x:row r="10" ht="22" customHeight="1">
      <x:c r="A10" s="19" t="str">
        <x:v>PD-VISTA 根路由与原始模块说明</x:v>
      </x:c>
      <x:c r="B10" s="19" t="str">
        <x:v>PD-VISTA 根路由与原始模块说明</x:v>
      </x:c>
      <x:c r="C10" s="19" t="str">
        <x:v>PD-VISTA 根路由与原始模块说明</x:v>
      </x:c>
      <x:c r="D10" s="19" t="str">
        <x:v>PD-VISTA 根路由与原始模块说明</x:v>
      </x:c>
      <x:c r="E10" s="19" t="str">
        <x:v>PD-VISTA 根路由与原始模块说明</x:v>
      </x:c>
      <x:c r="F10" s="19" t="str">
        <x:v>PD-VISTA 根路由与原始模块说明</x:v>
      </x:c>
    </x:row>
    <x:row r="11">
      <x:c r="A11" s="7" t="str">
        <x:v>资产</x:v>
      </x:c>
      <x:c r="B11" s="7" t="str">
        <x:v>项目路径</x:v>
      </x:c>
      <x:c r="C11" s="7" t="str">
        <x:v>首轮可见性</x:v>
      </x:c>
      <x:c r="D11" s="7" t="str">
        <x:v>披露触发</x:v>
      </x:c>
      <x:c r="E11" s="7" t="str">
        <x:v>中文说明</x:v>
      </x:c>
      <x:c r="F11" s="7" t="str">
        <x:v>正式证据</x:v>
      </x:c>
    </x:row>
    <x:row r="12">
      <x:c r="A12" s="13" t="str">
        <x:v>根路由</x:v>
      </x:c>
      <x:c r="B12" s="13" t="str">
        <x:v>skills/pd-vista/task-005/SKILL.md</x:v>
      </x:c>
      <x:c r="C12" s="13" t="str">
        <x:v>PD-VISTA 可见</x:v>
      </x:c>
      <x:c r="D12" s="13" t="str">
        <x:v>始终可见</x:v>
      </x:c>
      <x:c r="E12" s="13" t="str">
        <x:v>先盘点输入、准确归类；失败后只披露一个模块。</x:v>
      </x:c>
      <x:c r="F12" s="13" t="str">
        <x:v>PD-VISTA-01</x:v>
      </x:c>
    </x:row>
    <x:row r="13">
      <x:c r="A13" s="13" t="str">
        <x:v>planning-with-files</x:v>
      </x:c>
      <x:c r="B13" s="13" t="str">
        <x:v>environment/skills/planning-with-files/SKILL.md</x:v>
      </x:c>
      <x:c r="C13" s="13" t="str">
        <x:v>Native 可见；PD 隐藏</x:v>
      </x:c>
      <x:c r="D13" s="13" t="str">
        <x:v>incomplete_output / command_failure</x:v>
      </x:c>
      <x:c r="E13" s="13" t="str">
        <x:v>规划与文件盘点模块。</x:v>
      </x:c>
      <x:c r="F13" s="13" t="str">
        <x:v>PD-VISTA-01：披露后下一轮读取</x:v>
      </x:c>
    </x:row>
    <x:row r="14">
      <x:c r="A14" s="13" t="str">
        <x:v>file-organizer</x:v>
      </x:c>
      <x:c r="B14" s="13" t="str">
        <x:v>environment/skills/file-organizer/SKILL.md</x:v>
      </x:c>
      <x:c r="C14" s="13" t="str">
        <x:v>Native 可见；PD 隐藏</x:v>
      </x:c>
      <x:c r="D14" s="13" t="str">
        <x:v>schema_error / test_failure / assertion_error</x:v>
      </x:c>
      <x:c r="E14" s="13" t="str">
        <x:v>归类与文件放置模块。</x:v>
      </x:c>
      <x:c r="F14" s="13" t="str">
        <x:v>未在有效 PD 组披露</x:v>
      </x:c>
    </x:row>
    <x:row r="15">
      <x:c r="A15" s="13" t="str">
        <x:v>pdf</x:v>
      </x:c>
      <x:c r="B15" s="13" t="str">
        <x:v>environment/skills/pdf/SKILL.md</x:v>
      </x:c>
      <x:c r="C15" s="13" t="str">
        <x:v>Native 可见；PD 隐藏</x:v>
      </x:c>
      <x:c r="D15" s="13" t="str">
        <x:v>wrong_format / dependency_error</x:v>
      </x:c>
      <x:c r="E15" s="13" t="str">
        <x:v>PDF 读取与格式模块。</x:v>
      </x:c>
      <x:c r="F15" s="13" t="str">
        <x:v>未在有效 PD 组披露</x:v>
      </x:c>
    </x:row>
    <x:row r="16">
      <x:c r="A16" s="13" t="str">
        <x:v>docx</x:v>
      </x:c>
      <x:c r="B16" s="13" t="str">
        <x:v>environment/skills/docx/SKILL.md</x:v>
      </x:c>
      <x:c r="C16" s="13" t="str">
        <x:v>Native 可见；PD 隐藏</x:v>
      </x:c>
      <x:c r="D16" s="13" t="str">
        <x:v>runtime_error</x:v>
      </x:c>
      <x:c r="E16" s="13" t="str">
        <x:v>DOCX 处理模块。</x:v>
      </x:c>
      <x:c r="F16" s="13" t="str">
        <x:v>未在有效 PD 组披露</x:v>
      </x:c>
    </x:row>
    <x:row r="17">
      <x:c r="A17" s="13" t="str">
        <x:v>pptx</x:v>
      </x:c>
      <x:c r="B17" s="13" t="str">
        <x:v>environment/skills/pptx/SKILL.md</x:v>
      </x:c>
      <x:c r="C17" s="13" t="str">
        <x:v>Native 可见；PD 隐藏</x:v>
      </x:c>
      <x:c r="D17" s="13" t="str">
        <x:v>timeout / repeated_failure</x:v>
      </x:c>
      <x:c r="E17" s="13" t="str">
        <x:v>PPTX 处理模块。</x:v>
      </x:c>
      <x:c r="F17" s="13" t="str">
        <x:v>未在有效 PD 组披露</x:v>
      </x:c>
    </x:row>
  </x:sheetData>
  <x:mergeCells>
    <x:mergeCell ref="A1:F1"/>
    <x:mergeCell ref="A3:F3"/>
    <x:mergeCell ref="A10:F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52" hidden="0" customWidth="1"/>
    <x:col min="3" max="3" width="14" hidden="0" customWidth="1"/>
    <x:col min="4" max="4" width="16" hidden="0" customWidth="1"/>
    <x:col min="5" max="5" width="76" hidden="0" customWidth="1"/>
    <x:col min="6" max="6" width="14" hidden="0" customWidth="1"/>
    <x:col min="7" max="7" width="54" hidden="0" customWidth="1"/>
    <x:col min="8" max="8" width="18" hidden="0" customWidth="1"/>
    <x:col min="9" max="9" width="20" hidden="0" customWidth="1"/>
    <x:col min="10" max="10" width="28" hidden="0" customWidth="1"/>
  </x:cols>
  <x:sheetData>
    <x:row r="1" ht="28" customHeight="1">
      <x:c r="A1" s="3" t="str">
        <x:v>PD-VISTA 披露证据与干净闭环</x:v>
      </x:c>
      <x:c r="B1" s="3" t="str">
        <x:v>PD-VISTA 披露证据与干净闭环</x:v>
      </x:c>
      <x:c r="C1" s="3" t="str">
        <x:v>PD-VISTA 披露证据与干净闭环</x:v>
      </x:c>
      <x:c r="D1" s="3" t="str">
        <x:v>PD-VISTA 披露证据与干净闭环</x:v>
      </x:c>
      <x:c r="E1" s="3" t="str">
        <x:v>PD-VISTA 披露证据与干净闭环</x:v>
      </x:c>
      <x:c r="F1" s="3" t="str">
        <x:v>PD-VISTA 披露证据与干净闭环</x:v>
      </x:c>
      <x:c r="G1" s="3" t="str">
        <x:v>PD-VISTA 披露证据与干净闭环</x:v>
      </x:c>
      <x:c r="H1" s="3" t="str">
        <x:v>PD-VISTA 披露证据与干净闭环</x:v>
      </x:c>
      <x:c r="I1" s="3" t="str">
        <x:v>PD-VISTA 披露证据与干净闭环</x:v>
      </x:c>
      <x:c r="J1" s="3" t="str">
        <x:v>PD-VISTA 披露证据与干净闭环</x:v>
      </x:c>
    </x:row>
    <x:row r="3" ht="22" customHeight="1">
      <x:c r="A3" s="19" t="str">
        <x:v>逐组披露与访问</x:v>
      </x:c>
      <x:c r="B3" s="19" t="str">
        <x:v>逐组披露与访问</x:v>
      </x:c>
      <x:c r="C3" s="19" t="str">
        <x:v>逐组披露与访问</x:v>
      </x:c>
      <x:c r="D3" s="19" t="str">
        <x:v>逐组披露与访问</x:v>
      </x:c>
      <x:c r="E3" s="19" t="str">
        <x:v>逐组披露与访问</x:v>
      </x:c>
      <x:c r="F3" s="19" t="str">
        <x:v>逐组披露与访问</x:v>
      </x:c>
      <x:c r="G3" s="19" t="str">
        <x:v>逐组披露与访问</x:v>
      </x:c>
      <x:c r="H3" s="19" t="str">
        <x:v>逐组披露与访问</x:v>
      </x:c>
      <x:c r="I3" s="19" t="str">
        <x:v>逐组披露与访问</x:v>
      </x:c>
      <x:c r="J3" s="19" t="str">
        <x:v>逐组披露与访问</x:v>
      </x:c>
    </x:row>
    <x:row r="4">
      <x:c r="A4" s="7" t="str">
        <x:v>组ID</x:v>
      </x:c>
      <x:c r="B4" s="7" t="str">
        <x:v>重复</x:v>
      </x:c>
      <x:c r="C4" s="7" t="str">
        <x:v>首轮结果</x:v>
      </x:c>
      <x:c r="D4" s="7" t="str">
        <x:v>触发机会</x:v>
      </x:c>
      <x:c r="E4" s="7" t="str">
        <x:v>可路由反馈</x:v>
      </x:c>
      <x:c r="F4" s="7" t="str">
        <x:v>披露模块</x:v>
      </x:c>
      <x:c r="G4" s="7" t="str">
        <x:v>下一轮实际访问</x:v>
      </x:c>
      <x:c r="H4" s="7" t="str">
        <x:v>干净闭环</x:v>
      </x:c>
      <x:c r="I4" s="7" t="str">
        <x:v>最终结果</x:v>
      </x:c>
      <x:c r="J4" s="7" t="str">
        <x:v>逐轮证据</x:v>
      </x:c>
    </x:row>
    <x:row r="5">
      <x:c r="A5" s="13" t="str">
        <x:v>pd-vista-01</x:v>
      </x:c>
      <x:c r="B5" s="13" t="n">
        <x:v>1</x:v>
      </x:c>
      <x:c r="C5" s="13" t="str">
        <x:v>首轮失败</x:v>
      </x:c>
      <x:c r="D5" s="13" t="n">
        <x:v>2</x:v>
      </x:c>
      <x:c r="E5" s="13" t="n">
        <x:v>2</x:v>
      </x:c>
      <x:c r="F5" s="13" t="str">
        <x:v>planning-with-files</x:v>
      </x:c>
      <x:c r="G5" s="13" t="str">
        <x:v>planning-with-files</x:v>
      </x:c>
      <x:c r="H5" s="13" t="n">
        <x:v>1</x:v>
      </x:c>
      <x:c r="I5" s="13" t="str">
        <x:v>通过</x:v>
      </x:c>
      <x:c r="J5" s="13" t="str">
        <x:v>第1轮→披露 planning-with-files；第2轮实际读取=true</x:v>
      </x:c>
    </x:row>
    <x:row r="6">
      <x:c r="A6" s="13" t="str">
        <x:v>pd-vista-02</x:v>
      </x:c>
      <x:c r="B6" s="13" t="n">
        <x:v>2</x:v>
      </x:c>
      <x:c r="C6" s="13" t="str">
        <x:v>首轮通过</x:v>
      </x:c>
      <x:c r="D6" s="13" t="n">
        <x:v>0</x:v>
      </x:c>
      <x:c r="E6" s="13" t="n">
        <x:v>0</x:v>
      </x:c>
      <x:c r="F6" s="13" t="str">
        <x:v>—</x:v>
      </x:c>
      <x:c r="G6" s="13" t="str">
        <x:v>—</x:v>
      </x:c>
      <x:c r="H6" s="13" t="n">
        <x:v>0</x:v>
      </x:c>
      <x:c r="I6" s="13" t="str">
        <x:v>通过</x:v>
      </x:c>
      <x:c r="J6" s="13" t="str">
        <x:v>无披露事件</x:v>
      </x:c>
    </x:row>
    <x:row r="7">
      <x:c r="A7" s="13" t="str">
        <x:v>pd-vista-03</x:v>
      </x:c>
      <x:c r="B7" s="13" t="n">
        <x:v>3</x:v>
      </x:c>
      <x:c r="C7" s="13" t="str">
        <x:v>首轮通过</x:v>
      </x:c>
      <x:c r="D7" s="13" t="n">
        <x:v>0</x:v>
      </x:c>
      <x:c r="E7" s="13" t="n">
        <x:v>0</x:v>
      </x:c>
      <x:c r="F7" s="13" t="str">
        <x:v>—</x:v>
      </x:c>
      <x:c r="G7" s="13" t="str">
        <x:v>—</x:v>
      </x:c>
      <x:c r="H7" s="13" t="n">
        <x:v>0</x:v>
      </x:c>
      <x:c r="I7" s="13" t="str">
        <x:v>通过</x:v>
      </x:c>
      <x:c r="J7" s="13" t="str">
        <x:v>无披露事件</x:v>
      </x:c>
    </x:row>
    <x:row r="10" ht="22" customHeight="1">
      <x:c r="A10" s="19" t="str">
        <x:v>正式批次之外的诊断 / 限流排除</x:v>
      </x:c>
      <x:c r="B10" s="19" t="str">
        <x:v>正式批次之外的诊断 / 限流排除</x:v>
      </x:c>
      <x:c r="C10" s="19" t="str">
        <x:v>正式批次之外的诊断 / 限流排除</x:v>
      </x:c>
      <x:c r="D10" s="19" t="str">
        <x:v>正式批次之外的诊断 / 限流排除</x:v>
      </x:c>
      <x:c r="E10" s="19" t="str">
        <x:v>正式批次之外的诊断 / 限流排除</x:v>
      </x:c>
      <x:c r="F10" s="19" t="str">
        <x:v>正式批次之外的诊断 / 限流排除</x:v>
      </x:c>
      <x:c r="G10" s="19" t="str">
        <x:v>正式批次之外的诊断 / 限流排除</x:v>
      </x:c>
      <x:c r="H10" s="19" t="str">
        <x:v>正式批次之外的诊断 / 限流排除</x:v>
      </x:c>
      <x:c r="I10" s="19" t="str">
        <x:v>正式批次之外的诊断 / 限流排除</x:v>
      </x:c>
      <x:c r="J10" s="19" t="str">
        <x:v>正式批次之外的诊断 / 限流排除</x:v>
      </x:c>
    </x:row>
    <x:row r="11">
      <x:c r="A11" s="7" t="str">
        <x:v>类型</x:v>
      </x:c>
      <x:c r="B11" s="7" t="str">
        <x:v>批次/Attempt</x:v>
      </x:c>
      <x:c r="C11" s="7" t="str">
        <x:v>模型请求</x:v>
      </x:c>
      <x:c r="D11" s="7" t="str">
        <x:v>是否计入正式</x:v>
      </x:c>
      <x:c r="E11" s="7" t="str">
        <x:v>排除原因</x:v>
      </x:c>
      <x:c r="F11" s="7" t="str">
        <x:v>是否真实429</x:v>
      </x:c>
      <x:c r="G11" s="7" t="str">
        <x:v>证据</x:v>
      </x:c>
      <x:c r="H11" s="7" t="str">
        <x:v>影响</x:v>
      </x:c>
      <x:c r="I11" s="7" t="str">
        <x:v>处理</x:v>
      </x:c>
      <x:c r="J11" s="7" t="str">
        <x:v>备注</x:v>
      </x:c>
    </x:row>
    <x:row r="12">
      <x:c r="A12" s="13" t="str">
        <x:v>readiness_diagnostic</x:v>
      </x:c>
      <x:c r="B12" s="13" t="str">
        <x:v>formal-task005-local-3x3-minimaxm3-20260824-00-readiness</x:v>
      </x:c>
      <x:c r="C12" s="13" t="n">
        <x:v>0</x:v>
      </x:c>
      <x:c r="D12" s="14" t="b">
        <x:v>0</x:v>
      </x:c>
      <x:c r="E12" s="13" t="str">
        <x:v>zero-model task identity, 100 PDF + 3 Office asset, dependency, public verifier collection, OpenCode identity and concurrency readiness; excluded before formal batch</x:v>
      </x:c>
      <x:c r="F12" s="14" t="b">
        <x:v>0</x:v>
      </x:c>
      <x:c r="G12" s="13" t="str">
        <x:v>outputs/formal-task005-local-3x3-minimaxm3-20260824-00-readiness-audit/readiness.json</x:v>
      </x:c>
      <x:c r="H12" s="13" t="str">
        <x:v>不影响正式 9 组</x:v>
      </x:c>
      <x:c r="I12" s="13" t="str">
        <x:v>保留证据并排除</x:v>
      </x:c>
      <x:c r="J12" s="13" t="str">
        <x:v>正式批次无真实 429</x:v>
      </x:c>
    </x:row>
    <x:row r="13">
      <x:c r="A13" s="13" t="str">
        <x:v>controller_startup_diagnostic</x:v>
      </x:c>
      <x:c r="B13" s="13" t="str">
        <x:v>formal-task005-local-3x3-minimaxm3-20260824-113643</x:v>
      </x:c>
      <x:c r="C13" s="13" t="n">
        <x:v>0</x:v>
      </x:c>
      <x:c r="D13" s="14" t="b">
        <x:v>0</x:v>
      </x:c>
      <x:c r="E13" s="13" t="str">
        <x:v>controller self-process check falsely matched its own runner before any model request; empty batch retained and excluded</x:v>
      </x:c>
      <x:c r="F13" s="14" t="b">
        <x:v>0</x:v>
      </x:c>
      <x:c r="G13" s="13" t="str">
        <x:v>data/raw/formal-task005-local-3x3-minimaxm3-20260824-113643/readiness.json</x:v>
      </x:c>
      <x:c r="H13" s="13" t="str">
        <x:v>不影响正式 9 组</x:v>
      </x:c>
      <x:c r="I13" s="13" t="str">
        <x:v>保留证据并排除</x:v>
      </x:c>
      <x:c r="J13" s="13" t="str">
        <x:v>正式批次无真实 429</x:v>
      </x:c>
    </x:row>
    <x:row r="14">
      <x:c r="A14" s="13" t="str">
        <x:v>controller_false_positive_rate_limit_diagnostic</x:v>
      </x:c>
      <x:c r="B14" s="13" t="str">
        <x:v>formal-task005-local-3x3-minimaxm3-20260824-01</x:v>
      </x:c>
      <x:c r="C14" s="13" t="n">
        <x:v>51</x:v>
      </x:c>
      <x:c r="D14" s="14" t="b">
        <x:v>0</x:v>
      </x:c>
      <x:c r="E14" s="13" t="str">
        <x:v>two serial attempts were incorrectly classified from ordinary paper text containing “rate limitation”; raw attempts retained, no HTTP 429/status_code 429 found, formal run restarted with corrected detector</x:v>
      </x:c>
      <x:c r="F14" s="14" t="b">
        <x:v>0</x:v>
      </x:c>
      <x:c r="G14" s="13" t="str">
        <x:v>data/raw/formal-task005-local-3x3-minimaxm3-20260824-01/excluded-attempts/</x:v>
      </x:c>
      <x:c r="H14" s="13" t="str">
        <x:v>不影响正式 9 组</x:v>
      </x:c>
      <x:c r="I14" s="13" t="str">
        <x:v>保留证据并排除</x:v>
      </x:c>
      <x:c r="J14" s="13" t="str">
        <x:v>正式批次无真实 429</x:v>
      </x:c>
    </x:row>
    <x:row r="15">
      <x:c r="A15" s="13" t="str">
        <x:v>verifier_infrastructure_diagnostic</x:v>
      </x:c>
      <x:c r="B15" s="13" t="str">
        <x:v>formal-task005-local-3x3-minimaxm3-20260824-02</x:v>
      </x:c>
      <x:c r="C15" s="13" t="n">
        <x:v>87</x:v>
      </x:c>
      <x:c r="D15" s="14" t="b">
        <x:v>0</x:v>
      </x:c>
      <x:c r="E15" s="13" t="str">
        <x:v>original verifier fixture attempted to write read-only /logs/verifier on macOS; no task failure counted; verifier log path aliased per trial in corrected formal batch</x:v>
      </x:c>
      <x:c r="F15" s="14" t="b">
        <x:v>0</x:v>
      </x:c>
      <x:c r="G15" s="13" t="str">
        <x:v>data/raw/formal-task005-local-3x3-minimaxm3-20260824-02/readiness.json</x:v>
      </x:c>
      <x:c r="H15" s="13" t="str">
        <x:v>不影响正式 9 组</x:v>
      </x:c>
      <x:c r="I15" s="13" t="str">
        <x:v>保留证据并排除</x:v>
      </x:c>
      <x:c r="J15" s="13" t="str">
        <x:v>正式批次无真实 429</x:v>
      </x:c>
    </x:row>
  </x:sheetData>
  <x:mergeCells>
    <x:mergeCell ref="A1:J1"/>
    <x:mergeCell ref="A3:J3"/>
    <x:mergeCell ref="A10:J10"/>
  </x:mergeCells>
  <x:pageMargins left="0.7" right="0.7" top="0.75" bottom="0.75" header="0.3" footer="0.3"/>
  <x:tableParts count="1">
    <x:tablePart xmlns:r="http://schemas.openxmlformats.org/officeDocument/2006/relationships" r:id="Rf80bebdb00444c0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4" hidden="0" customWidth="1"/>
    <x:col min="2" max="2" width="34" hidden="0" customWidth="1"/>
    <x:col min="3" max="3" width="14" hidden="0" customWidth="1"/>
    <x:col min="4" max="4" width="14" hidden="0" customWidth="1"/>
    <x:col min="5" max="5" width="86" hidden="0" customWidth="1"/>
    <x:col min="6" max="6" width="58" hidden="0" customWidth="1"/>
  </x:cols>
  <x:sheetData>
    <x:row r="1" ht="28" customHeight="1">
      <x:c r="A1" s="3" t="str">
        <x:v>Readiness、诊断批次与排除清单</x:v>
      </x:c>
      <x:c r="B1" s="3" t="str">
        <x:v>Readiness、诊断批次与排除清单</x:v>
      </x:c>
      <x:c r="C1" s="3" t="str">
        <x:v>Readiness、诊断批次与排除清单</x:v>
      </x:c>
      <x:c r="D1" s="3" t="str">
        <x:v>Readiness、诊断批次与排除清单</x:v>
      </x:c>
      <x:c r="E1" s="3" t="str">
        <x:v>Readiness、诊断批次与排除清单</x:v>
      </x:c>
      <x:c r="F1" s="3" t="str">
        <x:v>Readiness、诊断批次与排除清单</x:v>
      </x:c>
    </x:row>
    <x:row r="3" ht="22" customHeight="1">
      <x:c r="A3" s="19" t="str">
        <x:v>Ready 证据摘要</x:v>
      </x:c>
      <x:c r="B3" s="19" t="str">
        <x:v>Ready 证据摘要</x:v>
      </x:c>
      <x:c r="C3" s="19" t="str">
        <x:v>Ready 证据摘要</x:v>
      </x:c>
      <x:c r="D3" s="19" t="str">
        <x:v>Ready 证据摘要</x:v>
      </x:c>
      <x:c r="E3" s="19" t="str">
        <x:v>Ready 证据摘要</x:v>
      </x:c>
      <x:c r="F3" s="19" t="str">
        <x:v>Ready 证据摘要</x:v>
      </x:c>
    </x:row>
    <x:row r="4">
      <x:c r="A4" s="7" t="str">
        <x:v>检查项</x:v>
      </x:c>
      <x:c r="B4" s="7" t="str">
        <x:v>结果</x:v>
      </x:c>
      <x:c r="C4" s="7" t="str">
        <x:v>证据/数值</x:v>
      </x:c>
      <x:c r="D4" s="7" t="str">
        <x:v>是否计入正式</x:v>
      </x:c>
      <x:c r="E4" s="7" t="str">
        <x:v>中文说明</x:v>
      </x:c>
      <x:c r="F4" s="7" t="str">
        <x:v>路径</x:v>
      </x:c>
    </x:row>
    <x:row r="5">
      <x:c r="A5" s="13" t="str">
        <x:v>任务身份解析</x:v>
      </x:c>
      <x:c r="B5" s="15" t="b">
        <x:v>1</x:v>
      </x:c>
      <x:c r="C5" s="13" t="str">
        <x:v>task-005 / organize-messy-files</x:v>
      </x:c>
      <x:c r="D5" s="14" t="b">
        <x:v>1</x:v>
      </x:c>
      <x:c r="E5" s="13" t="str">
        <x:v>身份与定义路径一致。</x:v>
      </x:c>
      <x:c r="F5" s="13" t="str">
        <x:v>/Users/wangjinhua/Downloads/vista-travel-macos-handoff-20260819-192318/tasks/pilot/task-005/task.yaml</x:v>
      </x:c>
    </x:row>
    <x:row r="6">
      <x:c r="A6" s="13" t="str">
        <x:v>PDF 输入数</x:v>
      </x:c>
      <x:c r="B6" s="27" t="n">
        <x:v>100</x:v>
      </x:c>
      <x:c r="C6" s="13" t="str">
        <x:v>100</x:v>
      </x:c>
      <x:c r="D6" s="14" t="b">
        <x:v>1</x:v>
      </x:c>
      <x:c r="E6" s="13" t="str">
        <x:v>下载到项目内 task5 专属资产目录。</x:v>
      </x:c>
      <x:c r="F6" s="13" t="str">
        <x:v>/Users/wangjinhua/Downloads/vista-travel-macos-handoff-20260819-192318/data/materialized/task005-organize-messy-files/all</x:v>
      </x:c>
    </x:row>
    <x:row r="7">
      <x:c r="A7" s="13" t="str">
        <x:v>Office 输入数</x:v>
      </x:c>
      <x:c r="B7" s="27" t="n">
        <x:v>3</x:v>
      </x:c>
      <x:c r="C7" s="13" t="str">
        <x:v>3</x:v>
      </x:c>
      <x:c r="D7" s="14" t="b">
        <x:v>1</x:v>
      </x:c>
      <x:c r="E7" s="13" t="str">
        <x:v>1 PPTX + 2 DOCX。</x:v>
      </x:c>
      <x:c r="F7" s="13" t="str">
        <x:v>/Users/wangjinhua/Downloads/vista-travel-macos-handoff-20260819-192318/vendor/skillsbench/tasks/organize-messy-files/environment</x:v>
      </x:c>
    </x:row>
    <x:row r="8">
      <x:c r="A8" s="13" t="str">
        <x:v>Verifier 依赖</x:v>
      </x:c>
      <x:c r="B8" s="15" t="b">
        <x:v>1</x:v>
      </x:c>
      <x:c r="C8" s="13" t="str">
        <x:v>pytest 8.4.2
PyPDF2 3.0.1</x:v>
      </x:c>
      <x:c r="D8" s="14" t="b">
        <x:v>1</x:v>
      </x:c>
      <x:c r="E8" s="13" t="str">
        <x:v>只补项目 .venv 的 PyPDF2。</x:v>
      </x:c>
      <x:c r="F8" s="13" t="str">
        <x:v>/Users/wangjinhua/Downloads/vista-travel-macos-handoff-20260819-192318/.venv</x:v>
      </x:c>
    </x:row>
    <x:row r="9">
      <x:c r="A9" s="13" t="str">
        <x:v>Verifier 收集</x:v>
      </x:c>
      <x:c r="B9" s="15" t="b">
        <x:v>1</x:v>
      </x:c>
      <x:c r="C9" s="13" t="str">
        <x:v>pytest --collect-only</x:v>
      </x:c>
      <x:c r="D9" s="14" t="b">
        <x:v>1</x:v>
      </x:c>
      <x:c r="E9" s="13" t="str">
        <x:v>公开入口可运行。</x:v>
      </x:c>
      <x:c r="F9" s="13" t="str">
        <x:v>/Users/wangjinhua/Downloads/vista-travel-macos-handoff-20260819-192318/vendor/skillsbench/tasks/organize-messy-files/verifier/test_outputs.py</x:v>
      </x:c>
    </x:row>
    <x:row r="10">
      <x:c r="A10" s="13" t="str">
        <x:v>原始模块</x:v>
      </x:c>
      <x:c r="B10" s="15" t="b">
        <x:v>1</x:v>
      </x:c>
      <x:c r="C10" s="13" t="str">
        <x:v>5/5</x:v>
      </x:c>
      <x:c r="D10" s="14" t="b">
        <x:v>1</x:v>
      </x:c>
      <x:c r="E10" s="13" t="str">
        <x:v>Native 完整提供。</x:v>
      </x:c>
      <x:c r="F10" s="13" t="str">
        <x:v>/Users/wangjinhua/Downloads/vista-travel-macos-handoff-20260819-192318/vendor/skillsbench/tasks/organize-messy-files/environment/skills</x:v>
      </x:c>
    </x:row>
    <x:row r="11">
      <x:c r="A11" s="13" t="str">
        <x:v>PD 根路由</x:v>
      </x:c>
      <x:c r="B11" s="15" t="b">
        <x:v>1</x:v>
      </x:c>
      <x:c r="C11" s="13" t="str">
        <x:v>SKILL.md</x:v>
      </x:c>
      <x:c r="D11" s="14" t="b">
        <x:v>1</x:v>
      </x:c>
      <x:c r="E11" s="13" t="str">
        <x:v>首轮只给根路由。</x:v>
      </x:c>
      <x:c r="F11" s="13" t="str">
        <x:v>/Users/wangjinhua/Downloads/vista-travel-macos-handoff-20260819-192318/skills/pd-vista/task-005/SKILL.md</x:v>
      </x:c>
    </x:row>
    <x:row r="12">
      <x:c r="A12" s="13" t="str">
        <x:v>PD 清单</x:v>
      </x:c>
      <x:c r="B12" s="15" t="b">
        <x:v>1</x:v>
      </x:c>
      <x:c r="C12" s="13" t="str">
        <x:v>manifest.yaml</x:v>
      </x:c>
      <x:c r="D12" s="14" t="b">
        <x:v>1</x:v>
      </x:c>
      <x:c r="E12" s="13" t="str">
        <x:v>单轮最多披露一个模块。</x:v>
      </x:c>
      <x:c r="F12" s="13" t="str">
        <x:v>/Users/wangjinhua/Downloads/vista-travel-macos-handoff-20260819-192318/skills/pd-vista/task-005/manifest.yaml</x:v>
      </x:c>
    </x:row>
    <x:row r="13">
      <x:c r="A13" s="13" t="str">
        <x:v>OpenCode</x:v>
      </x:c>
      <x:c r="B13" s="15" t="b">
        <x:v>1</x:v>
      </x:c>
      <x:c r="C13" s="13" t="str">
        <x:v>1.18.18</x:v>
      </x:c>
      <x:c r="D13" s="14" t="b">
        <x:v>1</x:v>
      </x:c>
      <x:c r="E13" s="13" t="str">
        <x:v>固定本机 launcher。</x:v>
      </x:c>
      <x:c r="F13" s="13" t="str">
        <x:v>/Users/wangjinhua/.local/lib/node_modules/opencode-ai/bin/opencode.exe</x:v>
      </x:c>
    </x:row>
    <x:row r="14">
      <x:c r="A14" s="13" t="str">
        <x:v>当前模型</x:v>
      </x:c>
      <x:c r="B14" s="15" t="b">
        <x:v>1</x:v>
      </x:c>
      <x:c r="C14" s="13" t="str">
        <x:v>minimax-cn/MiniMax-M3</x:v>
      </x:c>
      <x:c r="D14" s="14" t="b">
        <x:v>1</x:v>
      </x:c>
      <x:c r="E14" s="13" t="str">
        <x:v>未替换当前配置。</x:v>
      </x:c>
      <x:c r="F14" s="13" t="str"/>
    </x:row>
    <x:row r="15">
      <x:c r="A15" s="13" t="str">
        <x:v>Docker</x:v>
      </x:c>
      <x:c r="B15" s="15" t="b">
        <x:v>0</x:v>
      </x:c>
      <x:c r="C15" s="13" t="str">
        <x:v>false</x:v>
      </x:c>
      <x:c r="D15" s="14" t="b">
        <x:v>1</x:v>
      </x:c>
      <x:c r="E15" s="13" t="str">
        <x:v>未使用。</x:v>
      </x:c>
      <x:c r="F15" s="13" t="str">
        <x:v>/Users/wangjinhua/Downloads/vista-travel-macos-handoff-20260819-192318/data/raw/formal-task005-local-3x3-minimaxm3-20260824-03/group-summary.json</x:v>
      </x:c>
    </x:row>
    <x:row r="16">
      <x:c r="A16" s="13" t="str">
        <x:v>SkillBench 标准执行路线</x:v>
      </x:c>
      <x:c r="B16" s="15" t="b">
        <x:v>0</x:v>
      </x:c>
      <x:c r="C16" s="13" t="str">
        <x:v>false</x:v>
      </x:c>
      <x:c r="D16" s="14" t="b">
        <x:v>1</x:v>
      </x:c>
      <x:c r="E16" s="13" t="str">
        <x:v>未使用平台路线。</x:v>
      </x:c>
      <x:c r="F16" s="13" t="str">
        <x:v>/Users/wangjinhua/Downloads/vista-travel-macos-handoff-20260819-192318/data/raw/formal-task005-local-3x3-minimaxm3-20260824-03/group-summary.json</x:v>
      </x:c>
    </x:row>
    <x:row r="19" ht="22" customHeight="1">
      <x:c r="A19" s="19" t="str">
        <x:v>排除批次</x:v>
      </x:c>
      <x:c r="B19" s="19" t="str">
        <x:v>排除批次</x:v>
      </x:c>
      <x:c r="C19" s="19" t="str">
        <x:v>排除批次</x:v>
      </x:c>
      <x:c r="D19" s="19" t="str">
        <x:v>排除批次</x:v>
      </x:c>
      <x:c r="E19" s="19" t="str">
        <x:v>排除批次</x:v>
      </x:c>
      <x:c r="F19" s="19" t="str">
        <x:v>排除批次</x:v>
      </x:c>
    </x:row>
    <x:row r="20">
      <x:c r="A20" s="7" t="str">
        <x:v>批次</x:v>
      </x:c>
      <x:c r="B20" s="7" t="str">
        <x:v>类型</x:v>
      </x:c>
      <x:c r="C20" s="7" t="str">
        <x:v>请求数</x:v>
      </x:c>
      <x:c r="D20" s="7" t="str">
        <x:v>正式计入</x:v>
      </x:c>
      <x:c r="E20" s="7" t="str">
        <x:v>排除原因</x:v>
      </x:c>
      <x:c r="F20" s="7" t="str">
        <x:v>证据</x:v>
      </x:c>
    </x:row>
    <x:row r="21">
      <x:c r="A21" s="13" t="str">
        <x:v>formal-task005-local-3x3-minimaxm3-20260824-00-readiness</x:v>
      </x:c>
      <x:c r="B21" s="13" t="str">
        <x:v>readiness_diagnostic</x:v>
      </x:c>
      <x:c r="C21" s="13" t="n">
        <x:v>0</x:v>
      </x:c>
      <x:c r="D21" s="14" t="b">
        <x:v>0</x:v>
      </x:c>
      <x:c r="E21" s="13" t="str">
        <x:v>zero-model task identity, 100 PDF + 3 Office asset, dependency, public verifier collection, OpenCode identity and concurrency readiness; excluded before formal batch</x:v>
      </x:c>
      <x:c r="F21" s="13" t="str">
        <x:v>outputs/formal-task005-local-3x3-minimaxm3-20260824-00-readiness-audit/readiness.json</x:v>
      </x:c>
    </x:row>
    <x:row r="22">
      <x:c r="A22" s="13" t="str">
        <x:v>formal-task005-local-3x3-minimaxm3-20260824-113643</x:v>
      </x:c>
      <x:c r="B22" s="13" t="str">
        <x:v>controller_startup_diagnostic</x:v>
      </x:c>
      <x:c r="C22" s="13" t="n">
        <x:v>0</x:v>
      </x:c>
      <x:c r="D22" s="14" t="b">
        <x:v>0</x:v>
      </x:c>
      <x:c r="E22" s="13" t="str">
        <x:v>controller self-process check falsely matched its own runner before any model request; empty batch retained and excluded</x:v>
      </x:c>
      <x:c r="F22" s="13" t="str">
        <x:v>data/raw/formal-task005-local-3x3-minimaxm3-20260824-113643/readiness.json</x:v>
      </x:c>
    </x:row>
    <x:row r="23">
      <x:c r="A23" s="13" t="str">
        <x:v>formal-task005-local-3x3-minimaxm3-20260824-01</x:v>
      </x:c>
      <x:c r="B23" s="13" t="str">
        <x:v>controller_false_positive_rate_limit_diagnostic</x:v>
      </x:c>
      <x:c r="C23" s="13" t="n">
        <x:v>51</x:v>
      </x:c>
      <x:c r="D23" s="14" t="b">
        <x:v>0</x:v>
      </x:c>
      <x:c r="E23" s="13" t="str">
        <x:v>two serial attempts were incorrectly classified from ordinary paper text containing “rate limitation”; raw attempts retained, no HTTP 429/status_code 429 found, formal run restarted with corrected detector</x:v>
      </x:c>
      <x:c r="F23" s="13" t="str">
        <x:v>data/raw/formal-task005-local-3x3-minimaxm3-20260824-01/excluded-attempts/</x:v>
      </x:c>
    </x:row>
    <x:row r="24">
      <x:c r="A24" s="13" t="str">
        <x:v>formal-task005-local-3x3-minimaxm3-20260824-02</x:v>
      </x:c>
      <x:c r="B24" s="13" t="str">
        <x:v>verifier_infrastructure_diagnostic</x:v>
      </x:c>
      <x:c r="C24" s="13" t="n">
        <x:v>87</x:v>
      </x:c>
      <x:c r="D24" s="14" t="b">
        <x:v>0</x:v>
      </x:c>
      <x:c r="E24" s="13" t="str">
        <x:v>original verifier fixture attempted to write read-only /logs/verifier on macOS; no task failure counted; verifier log path aliased per trial in corrected formal batch</x:v>
      </x:c>
      <x:c r="F24" s="13" t="str">
        <x:v>data/raw/formal-task005-local-3x3-minimaxm3-20260824-02/readiness.json</x:v>
      </x:c>
    </x:row>
  </x:sheetData>
  <x:mergeCells>
    <x:mergeCell ref="A1:F1"/>
    <x:mergeCell ref="A3:F3"/>
    <x:mergeCell ref="A19:F1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56" hidden="0" customWidth="1"/>
    <x:col min="3" max="3" width="54" hidden="0" customWidth="1"/>
    <x:col min="4" max="4" width="34" hidden="0" customWidth="1"/>
    <x:col min="5" max="5" width="16" hidden="0" customWidth="1"/>
    <x:col min="6" max="6" width="44" hidden="0" customWidth="1"/>
  </x:cols>
  <x:sheetData>
    <x:row r="1" ht="28" customHeight="1">
      <x:c r="A1" s="3" t="str">
        <x:v>字段映射与可审计来源</x:v>
      </x:c>
      <x:c r="B1" s="3" t="str">
        <x:v>字段映射与可审计来源</x:v>
      </x:c>
      <x:c r="C1" s="3" t="str">
        <x:v>字段映射与可审计来源</x:v>
      </x:c>
      <x:c r="D1" s="3" t="str">
        <x:v>字段映射与可审计来源</x:v>
      </x:c>
      <x:c r="E1" s="3" t="str">
        <x:v>字段映射与可审计来源</x:v>
      </x:c>
      <x:c r="F1" s="3" t="str">
        <x:v>字段映射与可审计来源</x:v>
      </x:c>
    </x:row>
    <x:row r="3">
      <x:c r="A3" s="7" t="str">
        <x:v>工作簿字段</x:v>
      </x:c>
      <x:c r="B3" s="7" t="str">
        <x:v>来源 JSON / 文件</x:v>
      </x:c>
      <x:c r="C3" s="7" t="str">
        <x:v>公式或填充规则</x:v>
      </x:c>
      <x:c r="D3" s="7" t="str">
        <x:v>审计用途</x:v>
      </x:c>
      <x:c r="E3" s="7" t="str">
        <x:v>类型</x:v>
      </x:c>
      <x:c r="F3" s="7" t="str">
        <x:v>备注</x:v>
      </x:c>
    </x:row>
    <x:row r="4">
      <x:c r="A4" s="13" t="str">
        <x:v>组ID</x:v>
      </x:c>
      <x:c r="B4" s="13" t="str">
        <x:v>posthoc-audit.formal_results.condition + replicate_id</x:v>
      </x:c>
      <x:c r="C4" s="13" t="str">
        <x:v>条件-两位重复编号</x:v>
      </x:c>
      <x:c r="D4" s="13" t="str">
        <x:v>唯一组键</x:v>
      </x:c>
      <x:c r="E4" s="13" t="str">
        <x:v>文本</x:v>
      </x:c>
      <x:c r="F4" s="13" t="str">
        <x:v>9组明细</x:v>
      </x:c>
    </x:row>
    <x:row r="5">
      <x:c r="A5" s="13" t="str">
        <x:v>最终Verifier通过</x:v>
      </x:c>
      <x:c r="B5" s="13" t="str">
        <x:v>formal_results.final_verifier_pass</x:v>
      </x:c>
      <x:c r="C5" s="13" t="str">
        <x:v>明细填充；汇总 SUM</x:v>
      </x:c>
      <x:c r="D5" s="13" t="str">
        <x:v>最终验收完整性</x:v>
      </x:c>
      <x:c r="E5" s="13" t="str">
        <x:v>布尔</x:v>
      </x:c>
      <x:c r="F5" s="13" t="str">
        <x:v>每组最终结果</x:v>
      </x:c>
    </x:row>
    <x:row r="6">
      <x:c r="A6" s="13" t="str">
        <x:v>输入/输出/缓存 Token</x:v>
      </x:c>
      <x:c r="B6" s="13" t="str">
        <x:v>formal_results.usage.*</x:v>
      </x:c>
      <x:c r="C6" s="13" t="str">
        <x:v>明细填充；Token表 SUMIF</x:v>
      </x:c>
      <x:c r="D6" s="13" t="str">
        <x:v>消耗审计</x:v>
      </x:c>
      <x:c r="E6" s="13" t="str">
        <x:v>数值</x:v>
      </x:c>
      <x:c r="F6" s="13" t="str">
        <x:v>OpenCode JSONL step_finish</x:v>
      </x:c>
    </x:row>
    <x:row r="7">
      <x:c r="A7" s="13" t="str">
        <x:v>输入+输出Token</x:v>
      </x:c>
      <x:c r="B7" s="13" t="str">
        <x:v>9组明细 J/K</x:v>
      </x:c>
      <x:c r="C7" s="13" t="str">
        <x:v>M列 = J+K；汇总引用 M</x:v>
      </x:c>
      <x:c r="D7" s="13" t="str">
        <x:v>可复算新鲜 Token</x:v>
      </x:c>
      <x:c r="E7" s="13" t="str">
        <x:v>公式</x:v>
      </x:c>
      <x:c r="F7" s="13" t="str">
        <x:v>禁止硬编码汇总</x:v>
      </x:c>
    </x:row>
    <x:row r="8">
      <x:c r="A8" s="13" t="str">
        <x:v>DB记录费用</x:v>
      </x:c>
      <x:c r="B8" s="13" t="str">
        <x:v>formal_results.db_recorded_cost_usd / opencode.db session.cost</x:v>
      </x:c>
      <x:c r="C8" s="13" t="str">
        <x:v>只读 sqlite 查询；逐组填充</x:v>
      </x:c>
      <x:c r="D8" s="13" t="str">
        <x:v>OpenCode 记录费用</x:v>
      </x:c>
      <x:c r="E8" s="13" t="str">
        <x:v>数值</x:v>
      </x:c>
      <x:c r="F8" s="13" t="str">
        <x:v>不从估算价格推导</x:v>
      </x:c>
    </x:row>
    <x:row r="9">
      <x:c r="A9" s="13" t="str">
        <x:v>Provider / Model</x:v>
      </x:c>
      <x:c r="B9" s="13" t="str">
        <x:v>opencode_db_audit.sessions.model</x:v>
      </x:c>
      <x:c r="C9" s="13" t="str">
        <x:v>只读 DB 核对 providerID/id</x:v>
      </x:c>
      <x:c r="D9" s="13" t="str">
        <x:v>身份一致性</x:v>
      </x:c>
      <x:c r="E9" s="13" t="str">
        <x:v>文本</x:v>
      </x:c>
      <x:c r="F9" s="13" t="str">
        <x:v>minimax-cn / MiniMax-M3</x:v>
      </x:c>
    </x:row>
    <x:row r="10">
      <x:c r="A10" s="13" t="str">
        <x:v>Session ID</x:v>
      </x:c>
      <x:c r="B10" s="13" t="str">
        <x:v>formal_results.session_id + DB session.id</x:v>
      </x:c>
      <x:c r="C10" s="13" t="str">
        <x:v>事件与 DB 交叉核对</x:v>
      </x:c>
      <x:c r="D10" s="13" t="str">
        <x:v>独立 session</x:v>
      </x:c>
      <x:c r="E10" s="13" t="str">
        <x:v>文本</x:v>
      </x:c>
      <x:c r="F10" s="13" t="str">
        <x:v>9 个唯一</x:v>
      </x:c>
    </x:row>
    <x:row r="11">
      <x:c r="A11" s="13" t="str">
        <x:v>目录分布</x:v>
      </x:c>
      <x:c r="B11" s="13" t="str">
        <x:v>workspace-inventory.subject_counts</x:v>
      </x:c>
      <x:c r="C11" s="13" t="str">
        <x:v>明细填充</x:v>
      </x:c>
      <x:c r="D11" s="13" t="str">
        <x:v>任务输出结构</x:v>
      </x:c>
      <x:c r="E11" s="13" t="str">
        <x:v>文本</x:v>
      </x:c>
      <x:c r="F11" s="13" t="str">
        <x:v>20/23/20/20/20</x:v>
      </x:c>
    </x:row>
    <x:row r="12">
      <x:c r="A12" s="13" t="str">
        <x:v>初始模块</x:v>
      </x:c>
      <x:c r="B12" s="13" t="str">
        <x:v>formal_results.initially_available_modules</x:v>
      </x:c>
      <x:c r="C12" s="13" t="str">
        <x:v>条件物化规则</x:v>
      </x:c>
      <x:c r="D12" s="13" t="str">
        <x:v>暴露条件</x:v>
      </x:c>
      <x:c r="E12" s="13" t="str">
        <x:v>文本</x:v>
      </x:c>
      <x:c r="F12" s="13" t="str">
        <x:v>No-Skill=[]；Native=5；PD=[]</x:v>
      </x:c>
    </x:row>
    <x:row r="13">
      <x:c r="A13" s="13" t="str">
        <x:v>披露模块</x:v>
      </x:c>
      <x:c r="B13" s="13" t="str">
        <x:v>formal_results.disclosed_modules</x:v>
      </x:c>
      <x:c r="C13" s="13" t="str">
        <x:v>DisclosureRouter 每轮最多 1</x:v>
      </x:c>
      <x:c r="D13" s="13" t="str">
        <x:v>渐进披露</x:v>
      </x:c>
      <x:c r="E13" s="13" t="str">
        <x:v>文本</x:v>
      </x:c>
      <x:c r="F13" s="13" t="str">
        <x:v>PD-VISTA</x:v>
      </x:c>
    </x:row>
    <x:row r="14">
      <x:c r="A14" s="13" t="str">
        <x:v>下一轮实际访问</x:v>
      </x:c>
      <x:c r="B14" s="13" t="str">
        <x:v>formal_results.accessed_modules_after_disclosure</x:v>
      </x:c>
      <x:c r="C14" s="13" t="str">
        <x:v>JSONL 读取 SKILL.md 的交集</x:v>
      </x:c>
      <x:c r="D14" s="13" t="str">
        <x:v>干净闭环</x:v>
      </x:c>
      <x:c r="E14" s="13" t="str">
        <x:v>文本</x:v>
      </x:c>
      <x:c r="F14" s="13" t="str">
        <x:v>披露不等于访问</x:v>
      </x:c>
    </x:row>
    <x:row r="15">
      <x:c r="A15" s="13" t="str">
        <x:v>触发/可路由/成功披露</x:v>
      </x:c>
      <x:c r="B15" s="13" t="str">
        <x:v>formal_results.vista_metrics.*</x:v>
      </x:c>
      <x:c r="C15" s="13" t="str">
        <x:v>明细填充；可按条件 SUMIF</x:v>
      </x:c>
      <x:c r="D15" s="13" t="str">
        <x:v>PD-VISTA 过程</x:v>
      </x:c>
      <x:c r="E15" s="13" t="str">
        <x:v>数值</x:v>
      </x:c>
      <x:c r="F15" s="13" t="str">
        <x:v>触发机会与路由证据</x:v>
      </x:c>
    </x:row>
    <x:row r="16">
      <x:c r="A16" s="13" t="str">
        <x:v>干净闭环</x:v>
      </x:c>
      <x:c r="B16" s="13" t="str">
        <x:v>formal_results.vista_metrics.clean_complete_closure</x:v>
      </x:c>
      <x:c r="C16" s="13" t="str">
        <x:v>披露后下一轮读取且最终通过</x:v>
      </x:c>
      <x:c r="D16" s="13" t="str">
        <x:v>PD 质量检查</x:v>
      </x:c>
      <x:c r="E16" s="13" t="str">
        <x:v>数值</x:v>
      </x:c>
      <x:c r="F16" s="13" t="str">
        <x:v>0/1 per trial</x:v>
      </x:c>
    </x:row>
    <x:row r="17">
      <x:c r="A17" s="13" t="str">
        <x:v>诊断批次</x:v>
      </x:c>
      <x:c r="B17" s="13" t="str">
        <x:v>group-summary.diagnostic_batches</x:v>
      </x:c>
      <x:c r="C17" s="13" t="str">
        <x:v>单独清单；不计入 9 组</x:v>
      </x:c>
      <x:c r="D17" s="13" t="str">
        <x:v>排除透明度</x:v>
      </x:c>
      <x:c r="E17" s="13" t="str">
        <x:v>文本</x:v>
      </x:c>
      <x:c r="F17" s="13" t="str">
        <x:v>4 个批次</x:v>
      </x:c>
    </x:row>
    <x:row r="18">
      <x:c r="A18" s="13" t="str">
        <x:v>排除尝试</x:v>
      </x:c>
      <x:c r="B18" s="13" t="str">
        <x:v>posthoc-audit.excluded_attempts</x:v>
      </x:c>
      <x:c r="C18" s="13" t="str">
        <x:v>隔离、不计正式统计</x:v>
      </x:c>
      <x:c r="D18" s="13" t="str">
        <x:v>限流/误判透明度</x:v>
      </x:c>
      <x:c r="E18" s="13" t="str">
        <x:v>文本</x:v>
      </x:c>
      <x:c r="F18" s="13" t="str">
        <x:v>2 个控制器误判</x:v>
      </x:c>
    </x:row>
    <x:row r="19">
      <x:c r="A19" s="13" t="str">
        <x:v>Docker / SkillBench route</x:v>
      </x:c>
      <x:c r="B19" s="13" t="str">
        <x:v>group-summary.*</x:v>
      </x:c>
      <x:c r="C19" s="13" t="str">
        <x:v>固定 false；QC 引用</x:v>
      </x:c>
      <x:c r="D19" s="13" t="str">
        <x:v>执行路线约束</x:v>
      </x:c>
      <x:c r="E19" s="13" t="str">
        <x:v>布尔</x:v>
      </x:c>
      <x:c r="F19" s="13" t="str">
        <x:v>均为 false</x:v>
      </x:c>
    </x:row>
    <x:row r="20">
      <x:c r="A20" s="13" t="str">
        <x:v>Verifier</x:v>
      </x:c>
      <x:c r="B20" s="13" t="str">
        <x:v>verifier/test_outputs.py</x:v>
      </x:c>
      <x:c r="C20" s="13" t="str">
        <x:v>仅日志路径别名；断言不变</x:v>
      </x:c>
      <x:c r="D20" s="13" t="str">
        <x:v>最终验收</x:v>
      </x:c>
      <x:c r="E20" s="13" t="str">
        <x:v>文件</x:v>
      </x:c>
      <x:c r="F20" s="13" t="str">
        <x:v>每组最终 8/8</x:v>
      </x:c>
    </x:row>
    <x:row r="21">
      <x:c r="A21" s="13" t="str">
        <x:v>公开提示词</x:v>
      </x:c>
      <x:c r="B21" s="13" t="str">
        <x:v>turns[].prompt / runner COMMON_PROMPT</x:v>
      </x:c>
      <x:c r="C21" s="13" t="str">
        <x:v>原样显示 + 中文说明</x:v>
      </x:c>
      <x:c r="D21" s="13" t="str">
        <x:v>提示词可审计</x:v>
      </x:c>
      <x:c r="E21" s="13" t="str">
        <x:v>文本</x:v>
      </x:c>
      <x:c r="F21" s="13" t="str">
        <x:v>条件提示词页</x:v>
      </x:c>
    </x:row>
  </x:sheetData>
  <x:mergeCells>
    <x:mergeCell ref="A1:F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48" hidden="0" customWidth="1"/>
    <x:col min="4" max="4" width="62" hidden="0" customWidth="1"/>
  </x:cols>
  <x:sheetData>
    <x:row r="1" ht="28" customHeight="1">
      <x:c r="A1" s="3" t="str">
        <x:v>工作簿公式与质量检查</x:v>
      </x:c>
      <x:c r="B1" s="3" t="str">
        <x:v>工作簿公式与质量检查</x:v>
      </x:c>
      <x:c r="C1" s="3" t="str">
        <x:v>工作簿公式与质量检查</x:v>
      </x:c>
      <x:c r="D1" s="3" t="str">
        <x:v>工作簿公式与质量检查</x:v>
      </x:c>
    </x:row>
    <x:row r="3">
      <x:c r="A3" s="7" t="str">
        <x:v>检查项</x:v>
      </x:c>
      <x:c r="B3" s="7" t="str">
        <x:v>结果</x:v>
      </x:c>
      <x:c r="C3" s="7" t="str">
        <x:v>规则</x:v>
      </x:c>
      <x:c r="D3" s="7" t="str">
        <x:v>说明</x:v>
      </x:c>
    </x:row>
    <x:row r="4">
      <x:c r="A4" s="13" t="str">
        <x:v>计划组数</x:v>
      </x:c>
      <x:c r="B4" s="13" t="n">
        <x:v>9</x:v>
      </x:c>
      <x:c r="C4" s="13" t="str">
        <x:v>固定协议</x:v>
      </x:c>
      <x:c r="D4" s="13" t="str">
        <x:v>3 条件 × 3 重复</x:v>
      </x:c>
    </x:row>
    <x:row r="5">
      <x:c r="A5" s="13" t="str">
        <x:v>结果文件数</x:v>
      </x:c>
      <x:c r="B5" s="13" t="n">
        <x:f>COUNTA('9组明细'!A5:A13)</x:f>
        <x:v>9</x:v>
      </x:c>
      <x:c r="C5" s="13" t="n">
        <x:f>COUNTA('9组明细'!A5:A13)</x:f>
        <x:v>9</x:v>
      </x:c>
      <x:c r="D5" s="13" t="str">
        <x:v>应为 9</x:v>
      </x:c>
    </x:row>
    <x:row r="6">
      <x:c r="A6" s="13" t="str">
        <x:v>Verifier 通过数</x:v>
      </x:c>
      <x:c r="B6" s="13" t="n">
        <x:f>SUM('Token与成本'!C18:C20)</x:f>
        <x:v>9</x:v>
      </x:c>
      <x:c r="C6" s="13" t="n">
        <x:f>SUM('Token与成本'!C18:C20)</x:f>
        <x:v>9</x:v>
      </x:c>
      <x:c r="D6" s="13" t="str">
        <x:v>应为 9</x:v>
      </x:c>
    </x:row>
    <x:row r="7">
      <x:c r="A7" s="13" t="str">
        <x:v>公式错误扫描</x:v>
      </x:c>
      <x:c r="B7" s="13" t="n">
        <x:v>0</x:v>
      </x:c>
      <x:c r="C7" s="13" t="str">
        <x:v>artifact-tool inspect match</x:v>
      </x:c>
      <x:c r="D7" s="13" t="str">
        <x:v>应为 0</x:v>
      </x:c>
    </x:row>
    <x:row r="8">
      <x:c r="A8" s="13" t="str">
        <x:v>Docker 使用</x:v>
      </x:c>
      <x:c r="B8" s="15" t="b">
        <x:v>0</x:v>
      </x:c>
      <x:c r="C8" s="13" t="n">
        <x:f>SUMPRODUCT(--('9组明细'!D5:D13="docker"))</x:f>
        <x:v>0</x:v>
      </x:c>
      <x:c r="D8" s="13" t="str">
        <x:v>应为 FALSE</x:v>
      </x:c>
    </x:row>
    <x:row r="9">
      <x:c r="A9" s="13" t="str">
        <x:v>SkillBench 路线</x:v>
      </x:c>
      <x:c r="B9" s="15" t="b">
        <x:v>0</x:v>
      </x:c>
      <x:c r="C9" s="13" t="n">
        <x:f>SUMPRODUCT(--('9组明细'!D5:D13="skillbench"))</x:f>
        <x:v>0</x:v>
      </x:c>
      <x:c r="D9" s="13" t="str">
        <x:v>应为 FALSE</x:v>
      </x:c>
    </x:row>
    <x:row r="10">
      <x:c r="A10" s="13" t="str">
        <x:v>唯一 session 数</x:v>
      </x:c>
      <x:c r="B10" s="13" t="n">
        <x:f>COUNTA('9组明细'!Q5:Q13)</x:f>
        <x:v>9</x:v>
      </x:c>
      <x:c r="C10" s="13" t="n">
        <x:f>COUNTA('9组明细'!Q5:Q13)</x:f>
        <x:v>9</x:v>
      </x:c>
      <x:c r="D10" s="13" t="str">
        <x:v>应为 9</x:v>
      </x:c>
    </x:row>
  </x:sheetData>
  <x:mergeCells>
    <x:mergeCell ref="A1:D1"/>
  </x:mergeCells>
  <x:pageMargins left="0.7" right="0.7" top="0.75" bottom="0.75" header="0.3" footer="0.3"/>
</x:worksheet>
</file>