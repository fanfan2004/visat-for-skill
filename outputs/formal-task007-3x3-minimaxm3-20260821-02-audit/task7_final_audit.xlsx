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0368f4052f46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d321b04e28048bb"/>
    <x:sheet xmlns:r="http://schemas.openxmlformats.org/officeDocument/2006/relationships" name="Trial Detail" sheetId="2" r:id="Rda4ad1c9ad454a13"/>
    <x:sheet xmlns:r="http://schemas.openxmlformats.org/officeDocument/2006/relationships" name="Token &amp; Cost" sheetId="3" r:id="Rf3cc16626b6b4039"/>
    <x:sheet xmlns:r="http://schemas.openxmlformats.org/officeDocument/2006/relationships" name="Disclosure Process" sheetId="4" r:id="R99e9ae3509c54550"/>
    <x:sheet xmlns:r="http://schemas.openxmlformats.org/officeDocument/2006/relationships" name="Disclosure Evidence" sheetId="5" r:id="R9a6c88aa3a5f46fd"/>
    <x:sheet xmlns:r="http://schemas.openxmlformats.org/officeDocument/2006/relationships" name="JSON Field Map" sheetId="6" r:id="R1db9d23760bd41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00"/>
    <x:numFmt numFmtId="201" formatCode="0.0%"/>
    <x:numFmt numFmtId="202" formatCode="#,##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  <x:font>
      <x:b/>
      <x:sz val="12"/>
      <x:color rgb="FFFFFFFF"/>
      <x:name val="Carlito"/>
    </x:font>
    <x:font>
      <x:b/>
      <x:sz val="11"/>
      <x:color rgb="FF2F75B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vertical="center" wrapText="1"/>
    </x:xf>
    <x:xf numFmtId="201" fontId="3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3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8e278575614ff1" /><Relationship Type="http://schemas.openxmlformats.org/officeDocument/2006/relationships/theme" Target="/xl/theme/theme1.xml" Id="Ra8a49e9bb8194839" /><Relationship Type="http://schemas.microsoft.com/office/2022/11/relationships/FeaturePropertyBag" Target="/xl/featurePropertyBag/featurePropertyBag.xml" Id="Rf5390f2797f0421c" /><Relationship Type="http://schemas.openxmlformats.org/officeDocument/2006/relationships/sharedStrings" Target="/xl/sharedStrings.xml" Id="R177d7bc171144db7" /><Relationship Type="http://schemas.openxmlformats.org/officeDocument/2006/relationships/worksheet" Target="/xl/worksheets/sheet1.xml" Id="R0d321b04e28048bb" /><Relationship Type="http://schemas.openxmlformats.org/officeDocument/2006/relationships/worksheet" Target="/xl/worksheets/sheet2.xml" Id="Rda4ad1c9ad454a13" /><Relationship Type="http://schemas.openxmlformats.org/officeDocument/2006/relationships/worksheet" Target="/xl/worksheets/sheet3.xml" Id="Rf3cc16626b6b4039" /><Relationship Type="http://schemas.openxmlformats.org/officeDocument/2006/relationships/worksheet" Target="/xl/worksheets/sheet4.xml" Id="R99e9ae3509c54550" /><Relationship Type="http://schemas.openxmlformats.org/officeDocument/2006/relationships/worksheet" Target="/xl/worksheets/sheet5.xml" Id="R9a6c88aa3a5f46fd" /><Relationship Type="http://schemas.openxmlformats.org/officeDocument/2006/relationships/worksheet" Target="/xl/worksheets/sheet6.xml" Id="R1db9d23760bd41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rialDetailTable" displayName="TrialDetailTable" ref="A3:X12" headerRowCount="1" totalsRowCount="0" totalsRowShown="0">
  <x:tableColumns count="24">
    <x:tableColumn id="1" name="Trial ID"/>
    <x:tableColumn id="2" name="Condition"/>
    <x:tableColumn id="3" name="Replicate"/>
    <x:tableColumn id="4" name="Status"/>
    <x:tableColumn id="5" name="Final verifier pass (1/0)"/>
    <x:tableColumn id="6" name="Turns"/>
    <x:tableColumn id="7" name="Requests"/>
    <x:tableColumn id="8" name="Tool uses"/>
    <x:tableColumn id="9" name="Input tokens"/>
    <x:tableColumn id="10" name="Output tokens"/>
    <x:tableColumn id="11" name="Cache read tokens"/>
    <x:tableColumn id="12" name="Total tokens"/>
    <x:tableColumn id="13" name="Recorded cost"/>
    <x:tableColumn id="14" name="Session ID"/>
    <x:tableColumn id="15" name="Initially available modules"/>
    <x:tableColumn id="16" name="Disclosed modules"/>
    <x:tableColumn id="17" name="Accessed after disclosure"/>
    <x:tableColumn id="18" name="Flight disclosed"/>
    <x:tableColumn id="19" name="Trigger opportunities"/>
    <x:tableColumn id="20" name="Routable feedback"/>
    <x:tableColumn id="21" name="Successful disclosures"/>
    <x:tableColumn id="22" name="Next-round access"/>
    <x:tableColumn id="23" name="Clean closure"/>
    <x:tableColumn id="24" name="Requested mode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kenCostTable" displayName="TokenCostTable" ref="A3:I6" headerRowCount="1" totalsRowCount="0" totalsRowShown="0">
  <x:tableColumns count="9">
    <x:tableColumn id="1" name="Condition"/>
    <x:tableColumn id="2" name="Trials"/>
    <x:tableColumn id="3" name="Verifier passes"/>
    <x:tableColumn id="4" name="Requests"/>
    <x:tableColumn id="5" name="Input + output tokens"/>
    <x:tableColumn id="6" name="Cache read tokens"/>
    <x:tableColumn id="7" name="Total tokens"/>
    <x:tableColumn id="8" name="Recorded cost"/>
    <x:tableColumn id="9" name="Average total tokens / tri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sclosureProcessTable" displayName="DisclosureProcessTable" ref="A3:F10" headerRowCount="1" totalsRowCount="0" totalsRowShown="0">
  <x:tableColumns count="6">
    <x:tableColumn id="1" name="Stage"/>
    <x:tableColumn id="2" name="Controller action"/>
    <x:tableColumn id="3" name="Agent-visible files"/>
    <x:tableColumn id="4" name="Controller-only files"/>
    <x:tableColumn id="5" name="Evidence recorded"/>
    <x:tableColumn id="6" name="Control objectiv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sclosureEvidenceTable" displayName="DisclosureEvidenceTable" ref="A3:H9" headerRowCount="1" totalsRowCount="0" totalsRowShown="0">
  <x:tableColumns count="8">
    <x:tableColumn id="1" name="Condition / trial"/>
    <x:tableColumn id="2" name="Initial visibility"/>
    <x:tableColumn id="3" name="Initial result"/>
    <x:tableColumn id="4" name="Trigger opportunities"/>
    <x:tableColumn id="5" name="Routed module"/>
    <x:tableColumn id="6" name="Actual access proof"/>
    <x:tableColumn id="7" name="Final result"/>
    <x:tableColumn id="8" name="Interpret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JsonFieldMapTable" displayName="JsonFieldMapTable" ref="A3:E22" headerRowCount="1" totalsRowCount="0" totalsRowShown="0">
  <x:tableColumns count="5">
    <x:tableColumn id="1" name="JSON section"/>
    <x:tableColumn id="2" name="JSON path"/>
    <x:tableColumn id="3" name="Workbook location"/>
    <x:tableColumn id="4" name="Meaning"/>
    <x:tableColumn id="5" name="Source /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fb8279c7ec40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0cee2fd1f1046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b24b0db42047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02374ceed314b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d3f26d67ffc4e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8" hidden="0" customWidth="1"/>
    <x:col min="3" max="3" width="14" hidden="0" customWidth="1"/>
    <x:col min="4" max="4" width="14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4" t="str">
        <x:v>Vista task7 · 3-condition × 3-replicate audit</x:v>
      </x:c>
      <x:c r="B1" s="4" t="str">
        <x:v>Vista task7 · 3-condition × 3-replicate audit</x:v>
      </x:c>
      <x:c r="C1" s="4" t="str">
        <x:v>Vista task7 · 3-condition × 3-replicate audit</x:v>
      </x:c>
      <x:c r="D1" s="4" t="str">
        <x:v>Vista task7 · 3-condition × 3-replicate audit</x:v>
      </x:c>
      <x:c r="E1" s="4" t="str">
        <x:v>Vista task7 · 3-condition × 3-replicate audit</x:v>
      </x:c>
      <x:c r="F1" s="4" t="str">
        <x:v>Vista task7 · 3-condition × 3-replicate audit</x:v>
      </x:c>
      <x:c r="G1" s="4" t="str">
        <x:v>Vista task7 · 3-condition × 3-replicate audit</x:v>
      </x:c>
      <x:c r="H1" s="4" t="str">
        <x:v>Vista task7 · 3-condition × 3-replicate audit</x:v>
      </x:c>
    </x:row>
    <x:row r="3">
      <x:c r="A3" s="9" t="str">
        <x:v>Run ID</x:v>
      </x:c>
      <x:c r="B3" s="13" t="str">
        <x:v>formal-task007-3x3-minimaxm3-20260821-02</x:v>
      </x:c>
    </x:row>
    <x:row r="4">
      <x:c r="A4" s="9" t="str">
        <x:v>Audit status</x:v>
      </x:c>
      <x:c r="B4" s="13" t="str">
        <x:v>passed</x:v>
      </x:c>
    </x:row>
    <x:row r="5">
      <x:c r="A5" s="9" t="str">
        <x:v>Completed trials</x:v>
      </x:c>
      <x:c r="B5" s="13" t="n">
        <x:v>9</x:v>
      </x:c>
    </x:row>
    <x:row r="6">
      <x:c r="A6" s="9" t="str">
        <x:v>Unique sessions</x:v>
      </x:c>
      <x:c r="B6" s="13" t="n">
        <x:v>9</x:v>
      </x:c>
    </x:row>
    <x:row r="7">
      <x:c r="A7" s="9" t="str">
        <x:v>Verifier result</x:v>
      </x:c>
      <x:c r="B7" s="14" t="str">
        <x:v>9/9 trials passed; 10 tests per final verifier</x:v>
      </x:c>
    </x:row>
    <x:row r="8">
      <x:c r="A8" s="9" t="str">
        <x:v>Provider / model</x:v>
      </x:c>
      <x:c r="B8" s="13" t="str">
        <x:v>minimax-cn / MiniMax-M3</x:v>
      </x:c>
    </x:row>
    <x:row r="9">
      <x:c r="A9" s="9" t="str">
        <x:v>Total recorded cost</x:v>
      </x:c>
      <x:c r="B9" s="15" t="n">
        <x:v>1.15208586</x:v>
      </x:c>
    </x:row>
    <x:row r="11">
      <x:c r="A11" s="21" t="str">
        <x:v>Condition overview</x:v>
      </x:c>
      <x:c r="B11" s="20"/>
      <x:c r="C11" s="20"/>
      <x:c r="D11" s="20"/>
      <x:c r="E11" s="20"/>
      <x:c r="F11" s="20"/>
      <x:c r="G11" s="20"/>
      <x:c r="H11" s="20"/>
    </x:row>
    <x:row r="12">
      <x:c r="A12" s="26" t="str">
        <x:v>Condition</x:v>
      </x:c>
      <x:c r="B12" s="26" t="str">
        <x:v>Trials</x:v>
      </x:c>
      <x:c r="C12" s="26" t="str">
        <x:v>Passes</x:v>
      </x:c>
      <x:c r="D12" s="26" t="str">
        <x:v>Pass rate</x:v>
      </x:c>
      <x:c r="E12" s="26" t="str">
        <x:v>Requests</x:v>
      </x:c>
      <x:c r="F12" s="26" t="str">
        <x:v>Input + output</x:v>
      </x:c>
      <x:c r="G12" s="26" t="str">
        <x:v>Cache read</x:v>
      </x:c>
      <x:c r="H12" s="26" t="str">
        <x:v>Recorded cost</x:v>
      </x:c>
    </x:row>
    <x:row r="13">
      <x:c r="A13" s="13" t="str">
        <x:v>No-Skill</x:v>
      </x:c>
      <x:c r="B13" s="13" t="n">
        <x:f>'Token &amp; Cost'!B4</x:f>
        <x:v>3</x:v>
      </x:c>
      <x:c r="C13" s="13" t="n">
        <x:f>'Token &amp; Cost'!C4</x:f>
        <x:v>3</x:v>
      </x:c>
      <x:c r="D13" s="27" t="n">
        <x:f>C13/B13</x:f>
        <x:v>1</x:v>
      </x:c>
      <x:c r="E13" s="13" t="n">
        <x:f>'Token &amp; Cost'!D4</x:f>
        <x:v>125</x:v>
      </x:c>
      <x:c r="F13" s="13" t="n">
        <x:f>'Token &amp; Cost'!E4</x:f>
        <x:v>205079</x:v>
      </x:c>
      <x:c r="G13" s="13" t="n">
        <x:f>'Token &amp; Cost'!F4</x:f>
        <x:v>3329967</x:v>
      </x:c>
      <x:c r="H13" s="15" t="n">
        <x:f>'Token &amp; Cost'!H4</x:f>
        <x:v>0.31322652</x:v>
      </x:c>
    </x:row>
    <x:row r="14">
      <x:c r="A14" s="13" t="str">
        <x:v>Native</x:v>
      </x:c>
      <x:c r="B14" s="13" t="n">
        <x:f>'Token &amp; Cost'!B5</x:f>
        <x:v>3</x:v>
      </x:c>
      <x:c r="C14" s="13" t="n">
        <x:f>'Token &amp; Cost'!C5</x:f>
        <x:v>3</x:v>
      </x:c>
      <x:c r="D14" s="27" t="n">
        <x:f>C14/B14</x:f>
        <x:v>1</x:v>
      </x:c>
      <x:c r="E14" s="13" t="n">
        <x:f>'Token &amp; Cost'!D5</x:f>
        <x:v>162</x:v>
      </x:c>
      <x:c r="F14" s="13" t="n">
        <x:f>'Token &amp; Cost'!E5</x:f>
        <x:v>403912</x:v>
      </x:c>
      <x:c r="G14" s="13" t="n">
        <x:f>'Token &amp; Cost'!F5</x:f>
        <x:v>5109495</x:v>
      </x:c>
      <x:c r="H14" s="15" t="n">
        <x:f>'Token &amp; Cost'!H5</x:f>
        <x:v>0.5062224</x:v>
      </x:c>
    </x:row>
    <x:row r="15">
      <x:c r="A15" s="13" t="str">
        <x:v>PD-VISTA</x:v>
      </x:c>
      <x:c r="B15" s="13" t="n">
        <x:f>'Token &amp; Cost'!B6</x:f>
        <x:v>3</x:v>
      </x:c>
      <x:c r="C15" s="13" t="n">
        <x:f>'Token &amp; Cost'!C6</x:f>
        <x:v>3</x:v>
      </x:c>
      <x:c r="D15" s="27" t="n">
        <x:f>C15/B15</x:f>
        <x:v>1</x:v>
      </x:c>
      <x:c r="E15" s="13" t="n">
        <x:f>'Token &amp; Cost'!D6</x:f>
        <x:v>132</x:v>
      </x:c>
      <x:c r="F15" s="13" t="n">
        <x:f>'Token &amp; Cost'!E6</x:f>
        <x:v>204765</x:v>
      </x:c>
      <x:c r="G15" s="13" t="n">
        <x:f>'Token &amp; Cost'!F6</x:f>
        <x:v>3520944</x:v>
      </x:c>
      <x:c r="H15" s="15" t="n">
        <x:f>'Token &amp; Cost'!H6</x:f>
        <x:v>0.33263694</x:v>
      </x:c>
    </x:row>
    <x:row r="18">
      <x:c r="A18" s="21" t="str">
        <x:v>Key integrity checks</x:v>
      </x:c>
      <x:c r="B18" s="20"/>
      <x:c r="C18" s="20"/>
      <x:c r="D18" s="20"/>
      <x:c r="E18" s="20"/>
      <x:c r="F18" s="20"/>
      <x:c r="G18" s="20"/>
      <x:c r="H18" s="20"/>
    </x:row>
    <x:row r="19">
      <x:c r="A19" s="26" t="str">
        <x:v>Check</x:v>
      </x:c>
      <x:c r="B19" s="26" t="str">
        <x:v>Result</x:v>
      </x:c>
    </x:row>
    <x:row r="20">
      <x:c r="A20" s="13" t="str">
        <x:v>All final verifier runs passed</x:v>
      </x:c>
      <x:c r="B20" s="33" t="b">
        <x:v>1</x:v>
      </x:c>
    </x:row>
    <x:row r="21">
      <x:c r="A21" s="13" t="str">
        <x:v>All itineraries present</x:v>
      </x:c>
      <x:c r="B21" s="33" t="b">
        <x:v>1</x:v>
      </x:c>
    </x:row>
    <x:row r="22">
      <x:c r="A22" s="13" t="str">
        <x:v>Unique session count equals trial count</x:v>
      </x:c>
      <x:c r="B22" s="33" t="b">
        <x:v>1</x:v>
      </x:c>
    </x:row>
    <x:row r="23">
      <x:c r="A23" s="13" t="str">
        <x:v>Docker used</x:v>
      </x:c>
      <x:c r="B23" s="33" t="b">
        <x:v>0</x:v>
      </x:c>
    </x:row>
    <x:row r="24">
      <x:c r="A24" s="13" t="str">
        <x:v>Provider/model consistent</x:v>
      </x:c>
      <x:c r="B24" s="33" t="b">
        <x:v>1</x:v>
      </x:c>
    </x:row>
    <x:row r="25">
      <x:c r="A25" s="13" t="str">
        <x:v>Flight distractor disclosed</x:v>
      </x:c>
      <x:c r="B25" s="33" t="b">
        <x:v>0</x:v>
      </x:c>
    </x:row>
    <x:row r="28">
      <x:c r="A28" s="9" t="str">
        <x:v>Source files</x:v>
      </x:c>
      <x:c r="B28" s="9"/>
      <x:c r="C28" s="9"/>
      <x:c r="D28" s="9"/>
      <x:c r="E28" s="9"/>
      <x:c r="F28" s="9"/>
      <x:c r="G28" s="9"/>
      <x:c r="H28" s="9"/>
    </x:row>
    <x:row r="29">
      <x:c r="A29" s="13" t="str">
        <x:v>/Users/wangjinhua/Downloads/vista-travel-macos-handoff-20260819-192318/data/raw/formal-task007-3x3-minimaxm3-20260821-02/posthoc-audit.json</x:v>
      </x:c>
      <x:c r="B29" s="13"/>
      <x:c r="C29" s="13"/>
      <x:c r="D29" s="13"/>
      <x:c r="E29" s="13"/>
      <x:c r="F29" s="13"/>
      <x:c r="G29" s="13"/>
      <x:c r="H29" s="13"/>
    </x:row>
  </x:sheetData>
  <x:mergeCells>
    <x:mergeCell ref="A1:H1"/>
    <x:mergeCell ref="A11:H11"/>
    <x:mergeCell ref="A18:H18"/>
    <x:mergeCell ref="A28:H28"/>
    <x:mergeCell ref="A29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13" hidden="0" customWidth="1"/>
    <x:col min="3" max="3" width="10" hidden="0" customWidth="1"/>
    <x:col min="4" max="4" width="34" hidden="0" customWidth="1"/>
    <x:col min="5" max="5" width="14" hidden="0" customWidth="1"/>
    <x:col min="6" max="6" width="9" hidden="0" customWidth="1"/>
    <x:col min="7" max="7" width="11" hidden="0" customWidth="1"/>
    <x:col min="8" max="8" width="11" hidden="0" customWidth="1"/>
    <x:col min="9" max="9" width="14" hidden="0" customWidth="1"/>
    <x:col min="10" max="10" width="14" hidden="0" customWidth="1"/>
    <x:col min="11" max="11" width="16" hidden="0" customWidth="1"/>
    <x:col min="12" max="12" width="14" hidden="0" customWidth="1"/>
    <x:col min="13" max="13" width="14" hidden="0" customWidth="1"/>
    <x:col min="14" max="14" width="34" hidden="0" customWidth="1"/>
    <x:col min="15" max="15" width="48" hidden="0" customWidth="1"/>
    <x:col min="16" max="16" width="28" hidden="0" customWidth="1"/>
    <x:col min="17" max="17" width="28" hidden="0" customWidth="1"/>
    <x:col min="18" max="18" width="14" hidden="0" customWidth="1"/>
    <x:col min="19" max="19" width="16" hidden="0" customWidth="1"/>
    <x:col min="20" max="20" width="16" hidden="0" customWidth="1"/>
    <x:col min="21" max="21" width="18" hidden="0" customWidth="1"/>
    <x:col min="22" max="22" width="16" hidden="0" customWidth="1"/>
    <x:col min="23" max="23" width="14" hidden="0" customWidth="1"/>
    <x:col min="24" max="24" width="28" hidden="0" customWidth="1"/>
  </x:cols>
  <x:sheetData>
    <x:row r="1" ht="30" customHeight="1">
      <x:c r="A1" s="4" t="str">
        <x:v>Trial-level audit detail</x:v>
      </x:c>
      <x:c r="B1" s="4" t="str">
        <x:v>Trial-level audit detail</x:v>
      </x:c>
      <x:c r="C1" s="4" t="str">
        <x:v>Trial-level audit detail</x:v>
      </x:c>
      <x:c r="D1" s="4" t="str">
        <x:v>Trial-level audit detail</x:v>
      </x:c>
      <x:c r="E1" s="4" t="str">
        <x:v>Trial-level audit detail</x:v>
      </x:c>
      <x:c r="F1" s="4" t="str">
        <x:v>Trial-level audit detail</x:v>
      </x:c>
      <x:c r="G1" s="4" t="str">
        <x:v>Trial-level audit detail</x:v>
      </x:c>
      <x:c r="H1" s="4" t="str">
        <x:v>Trial-level audit detail</x:v>
      </x:c>
      <x:c r="I1" s="4" t="str">
        <x:v>Trial-level audit detail</x:v>
      </x:c>
      <x:c r="J1" s="4" t="str">
        <x:v>Trial-level audit detail</x:v>
      </x:c>
      <x:c r="K1" s="4" t="str">
        <x:v>Trial-level audit detail</x:v>
      </x:c>
      <x:c r="L1" s="4" t="str">
        <x:v>Trial-level audit detail</x:v>
      </x:c>
      <x:c r="M1" s="4" t="str">
        <x:v>Trial-level audit detail</x:v>
      </x:c>
      <x:c r="N1" s="4" t="str">
        <x:v>Trial-level audit detail</x:v>
      </x:c>
      <x:c r="O1" s="4" t="str">
        <x:v>Trial-level audit detail</x:v>
      </x:c>
      <x:c r="P1" s="4" t="str">
        <x:v>Trial-level audit detail</x:v>
      </x:c>
      <x:c r="Q1" s="4" t="str">
        <x:v>Trial-level audit detail</x:v>
      </x:c>
      <x:c r="R1" s="4" t="str">
        <x:v>Trial-level audit detail</x:v>
      </x:c>
      <x:c r="S1" s="4" t="str">
        <x:v>Trial-level audit detail</x:v>
      </x:c>
      <x:c r="T1" s="4" t="str">
        <x:v>Trial-level audit detail</x:v>
      </x:c>
      <x:c r="U1" s="4" t="str">
        <x:v>Trial-level audit detail</x:v>
      </x:c>
      <x:c r="V1" s="4" t="str">
        <x:v>Trial-level audit detail</x:v>
      </x:c>
      <x:c r="W1" s="4" t="str">
        <x:v>Trial-level audit detail</x:v>
      </x:c>
      <x:c r="X1" s="4" t="str">
        <x:v>Trial-level audit detail</x:v>
      </x:c>
    </x:row>
    <x:row r="3">
      <x:c r="A3" s="26" t="str">
        <x:v>Trial ID</x:v>
      </x:c>
      <x:c r="B3" s="26" t="str">
        <x:v>Condition</x:v>
      </x:c>
      <x:c r="C3" s="26" t="str">
        <x:v>Replicate</x:v>
      </x:c>
      <x:c r="D3" s="26" t="str">
        <x:v>Status</x:v>
      </x:c>
      <x:c r="E3" s="26" t="str">
        <x:v>Final verifier pass (1/0)</x:v>
      </x:c>
      <x:c r="F3" s="26" t="str">
        <x:v>Turns</x:v>
      </x:c>
      <x:c r="G3" s="26" t="str">
        <x:v>Requests</x:v>
      </x:c>
      <x:c r="H3" s="26" t="str">
        <x:v>Tool uses</x:v>
      </x:c>
      <x:c r="I3" s="26" t="str">
        <x:v>Input tokens</x:v>
      </x:c>
      <x:c r="J3" s="26" t="str">
        <x:v>Output tokens</x:v>
      </x:c>
      <x:c r="K3" s="26" t="str">
        <x:v>Cache read tokens</x:v>
      </x:c>
      <x:c r="L3" s="26" t="str">
        <x:v>Total tokens</x:v>
      </x:c>
      <x:c r="M3" s="26" t="str">
        <x:v>Recorded cost</x:v>
      </x:c>
      <x:c r="N3" s="26" t="str">
        <x:v>Session ID</x:v>
      </x:c>
      <x:c r="O3" s="26" t="str">
        <x:v>Initially available modules</x:v>
      </x:c>
      <x:c r="P3" s="26" t="str">
        <x:v>Disclosed modules</x:v>
      </x:c>
      <x:c r="Q3" s="26" t="str">
        <x:v>Accessed after disclosure</x:v>
      </x:c>
      <x:c r="R3" s="26" t="str">
        <x:v>Flight disclosed</x:v>
      </x:c>
      <x:c r="S3" s="26" t="str">
        <x:v>Trigger opportunities</x:v>
      </x:c>
      <x:c r="T3" s="26" t="str">
        <x:v>Routable feedback</x:v>
      </x:c>
      <x:c r="U3" s="26" t="str">
        <x:v>Successful disclosures</x:v>
      </x:c>
      <x:c r="V3" s="26" t="str">
        <x:v>Next-round access</x:v>
      </x:c>
      <x:c r="W3" s="26" t="str">
        <x:v>Clean closure</x:v>
      </x:c>
      <x:c r="X3" s="26" t="str">
        <x:v>Requested model</x:v>
      </x:c>
    </x:row>
    <x:row r="4" ht="32" customHeight="1">
      <x:c r="A4" s="13" t="str">
        <x:v>formal-task007-3x3-minimaxm3-20260821-02-noskill-replicate-01</x:v>
      </x:c>
      <x:c r="B4" s="13" t="str">
        <x:v>No-Skill</x:v>
      </x:c>
      <x:c r="C4" s="13" t="n">
        <x:v>1</x:v>
      </x:c>
      <x:c r="D4" s="13" t="str">
        <x:v>passed</x:v>
      </x:c>
      <x:c r="E4" s="14" t="n">
        <x:v>1</x:v>
      </x:c>
      <x:c r="F4" s="13" t="n">
        <x:v>1</x:v>
      </x:c>
      <x:c r="G4" s="13" t="n">
        <x:v>41</x:v>
      </x:c>
      <x:c r="H4" s="13" t="n">
        <x:v>40</x:v>
      </x:c>
      <x:c r="I4" s="34" t="n">
        <x:v>50439</x:v>
      </x:c>
      <x:c r="J4" s="34" t="n">
        <x:v>19978</x:v>
      </x:c>
      <x:c r="K4" s="34" t="n">
        <x:v>1168683</x:v>
      </x:c>
      <x:c r="L4" s="34" t="n">
        <x:f>I4+J4+K4</x:f>
        <x:v>1239100</x:v>
      </x:c>
      <x:c r="M4" s="15" t="n">
        <x:v>0.10922628</x:v>
      </x:c>
      <x:c r="N4" s="13" t="str">
        <x:v>ses_fdcc1da08ffe5mhB7M10OsZjVo</x:v>
      </x:c>
      <x:c r="O4" s="13" t="str"/>
      <x:c r="P4" s="13" t="str"/>
      <x:c r="Q4" s="13" t="str"/>
      <x:c r="R4" s="32" t="b">
        <x:v>0</x:v>
      </x:c>
      <x:c r="S4" s="13" t="n">
        <x:v>0</x:v>
      </x:c>
      <x:c r="T4" s="13" t="n">
        <x:v>0</x:v>
      </x:c>
      <x:c r="U4" s="13" t="n">
        <x:v>0</x:v>
      </x:c>
      <x:c r="V4" s="13" t="n">
        <x:v>0</x:v>
      </x:c>
      <x:c r="W4" s="14" t="n">
        <x:v>0</x:v>
      </x:c>
      <x:c r="X4" s="13" t="str">
        <x:v>minimax-cn/MiniMax-M3</x:v>
      </x:c>
    </x:row>
    <x:row r="5" ht="32" customHeight="1">
      <x:c r="A5" s="13" t="str">
        <x:v>formal-task007-3x3-minimaxm3-20260821-02-native-replicate-01</x:v>
      </x:c>
      <x:c r="B5" s="13" t="str">
        <x:v>Native</x:v>
      </x:c>
      <x:c r="C5" s="13" t="n">
        <x:v>1</x:v>
      </x:c>
      <x:c r="D5" s="13" t="str">
        <x:v>passed</x:v>
      </x:c>
      <x:c r="E5" s="14" t="n">
        <x:v>1</x:v>
      </x:c>
      <x:c r="F5" s="13" t="n">
        <x:v>1</x:v>
      </x:c>
      <x:c r="G5" s="13" t="n">
        <x:v>69</x:v>
      </x:c>
      <x:c r="H5" s="13" t="n">
        <x:v>68</x:v>
      </x:c>
      <x:c r="I5" s="34" t="n">
        <x:v>85464</x:v>
      </x:c>
      <x:c r="J5" s="34" t="n">
        <x:v>39127</x:v>
      </x:c>
      <x:c r="K5" s="34" t="n">
        <x:v>2620607</x:v>
      </x:c>
      <x:c r="L5" s="34" t="n">
        <x:f>I5+J5+K5</x:f>
        <x:v>2745198</x:v>
      </x:c>
      <x:c r="M5" s="15" t="n">
        <x:v>0.22982802</x:v>
      </x:c>
      <x:c r="N5" s="13" t="str">
        <x:v>ses_fdcbe018effeoT0CBV7JwP1YuN</x:v>
      </x:c>
      <x:c r="O5" s="13" t="str">
        <x:v>search-cities, search-accommodations, search-restaurants, search-attractions, search-driving-distance, search-flights</x:v>
      </x:c>
      <x:c r="P5" s="13" t="str"/>
      <x:c r="Q5" s="13" t="str"/>
      <x:c r="R5" s="32" t="b">
        <x:v>0</x:v>
      </x:c>
      <x:c r="S5" s="13" t="n">
        <x:v>0</x:v>
      </x:c>
      <x:c r="T5" s="13" t="n">
        <x:v>0</x:v>
      </x:c>
      <x:c r="U5" s="13" t="n">
        <x:v>0</x:v>
      </x:c>
      <x:c r="V5" s="13" t="n">
        <x:v>0</x:v>
      </x:c>
      <x:c r="W5" s="14" t="n">
        <x:v>0</x:v>
      </x:c>
      <x:c r="X5" s="13" t="str">
        <x:v>minimax-cn/MiniMax-M3</x:v>
      </x:c>
    </x:row>
    <x:row r="6" ht="32" customHeight="1">
      <x:c r="A6" s="13" t="str">
        <x:v>formal-task007-3x3-minimaxm3-20260821-02-pd-vista-replicate-01</x:v>
      </x:c>
      <x:c r="B6" s="13" t="str">
        <x:v>PD-VISTA</x:v>
      </x:c>
      <x:c r="C6" s="13" t="n">
        <x:v>1</x:v>
      </x:c>
      <x:c r="D6" s="13" t="str">
        <x:v>passed_without_clean_vista_feedback_loop</x:v>
      </x:c>
      <x:c r="E6" s="14" t="n">
        <x:v>1</x:v>
      </x:c>
      <x:c r="F6" s="13" t="n">
        <x:v>1</x:v>
      </x:c>
      <x:c r="G6" s="13" t="n">
        <x:v>23</x:v>
      </x:c>
      <x:c r="H6" s="13" t="n">
        <x:v>22</x:v>
      </x:c>
      <x:c r="I6" s="34" t="n">
        <x:v>38268</x:v>
      </x:c>
      <x:c r="J6" s="34" t="n">
        <x:v>18601</x:v>
      </x:c>
      <x:c r="K6" s="34" t="n">
        <x:v>380540</x:v>
      </x:c>
      <x:c r="L6" s="34" t="n">
        <x:f>I6+J6+K6</x:f>
        <x:v>437409</x:v>
      </x:c>
      <x:c r="M6" s="15" t="n">
        <x:v>0.056634</x:v>
      </x:c>
      <x:c r="N6" s="13" t="str">
        <x:v>ses_fdcb0da6fffe2hMcwKfbulTu1S</x:v>
      </x:c>
      <x:c r="O6" s="13" t="str"/>
      <x:c r="P6" s="13" t="str"/>
      <x:c r="Q6" s="13" t="str"/>
      <x:c r="R6" s="32" t="b">
        <x:v>0</x:v>
      </x:c>
      <x:c r="S6" s="13" t="n">
        <x:v>0</x:v>
      </x:c>
      <x:c r="T6" s="13" t="n">
        <x:v>0</x:v>
      </x:c>
      <x:c r="U6" s="13" t="n">
        <x:v>0</x:v>
      </x:c>
      <x:c r="V6" s="13" t="n">
        <x:v>0</x:v>
      </x:c>
      <x:c r="W6" s="14" t="n">
        <x:v>0</x:v>
      </x:c>
      <x:c r="X6" s="13" t="str">
        <x:v>minimax-cn/MiniMax-M3</x:v>
      </x:c>
    </x:row>
    <x:row r="7" ht="32" customHeight="1">
      <x:c r="A7" s="13" t="str">
        <x:v>formal-task007-3x3-minimaxm3-20260821-02-native-replicate-02</x:v>
      </x:c>
      <x:c r="B7" s="13" t="str">
        <x:v>Native</x:v>
      </x:c>
      <x:c r="C7" s="13" t="n">
        <x:v>2</x:v>
      </x:c>
      <x:c r="D7" s="13" t="str">
        <x:v>passed</x:v>
      </x:c>
      <x:c r="E7" s="14" t="n">
        <x:v>1</x:v>
      </x:c>
      <x:c r="F7" s="13" t="n">
        <x:v>2</x:v>
      </x:c>
      <x:c r="G7" s="13" t="n">
        <x:v>44</x:v>
      </x:c>
      <x:c r="H7" s="13" t="n">
        <x:v>42</x:v>
      </x:c>
      <x:c r="I7" s="34" t="n">
        <x:v>43012</x:v>
      </x:c>
      <x:c r="J7" s="34" t="n">
        <x:v>16652</x:v>
      </x:c>
      <x:c r="K7" s="34" t="n">
        <x:v>988344</x:v>
      </x:c>
      <x:c r="L7" s="34" t="n">
        <x:f>I7+J7+K7</x:f>
        <x:v>1048008</x:v>
      </x:c>
      <x:c r="M7" s="15" t="n">
        <x:v>0.09218664</x:v>
      </x:c>
      <x:c r="N7" s="13" t="str">
        <x:v>ses_fdcac20b8ffewizYoK0imtdOg8</x:v>
      </x:c>
      <x:c r="O7" s="13" t="str">
        <x:v>search-cities, search-accommodations, search-restaurants, search-attractions, search-driving-distance, search-flights</x:v>
      </x:c>
      <x:c r="P7" s="13" t="str"/>
      <x:c r="Q7" s="13" t="str"/>
      <x:c r="R7" s="32" t="b">
        <x:v>0</x:v>
      </x:c>
      <x:c r="S7" s="13" t="n">
        <x:v>1</x:v>
      </x:c>
      <x:c r="T7" s="13" t="n">
        <x:v>0</x:v>
      </x:c>
      <x:c r="U7" s="13" t="n">
        <x:v>0</x:v>
      </x:c>
      <x:c r="V7" s="13" t="n">
        <x:v>0</x:v>
      </x:c>
      <x:c r="W7" s="14" t="n">
        <x:v>0</x:v>
      </x:c>
      <x:c r="X7" s="13" t="str">
        <x:v>minimax-cn/MiniMax-M3</x:v>
      </x:c>
    </x:row>
    <x:row r="8" ht="32" customHeight="1">
      <x:c r="A8" s="13" t="str">
        <x:v>formal-task007-3x3-minimaxm3-20260821-02-pd-vista-replicate-02</x:v>
      </x:c>
      <x:c r="B8" s="13" t="str">
        <x:v>PD-VISTA</x:v>
      </x:c>
      <x:c r="C8" s="13" t="n">
        <x:v>2</x:v>
      </x:c>
      <x:c r="D8" s="13" t="str">
        <x:v>passed_without_clean_vista_feedback_loop</x:v>
      </x:c>
      <x:c r="E8" s="14" t="n">
        <x:v>1</x:v>
      </x:c>
      <x:c r="F8" s="13" t="n">
        <x:v>1</x:v>
      </x:c>
      <x:c r="G8" s="13" t="n">
        <x:v>24</x:v>
      </x:c>
      <x:c r="H8" s="13" t="n">
        <x:v>23</x:v>
      </x:c>
      <x:c r="I8" s="34" t="n">
        <x:v>35246</x:v>
      </x:c>
      <x:c r="J8" s="34" t="n">
        <x:v>14805</x:v>
      </x:c>
      <x:c r="K8" s="34" t="n">
        <x:v>436604</x:v>
      </x:c>
      <x:c r="L8" s="34" t="n">
        <x:f>I8+J8+K8</x:f>
        <x:v>486655</x:v>
      </x:c>
      <x:c r="M8" s="15" t="n">
        <x:v>0.05453604</x:v>
      </x:c>
      <x:c r="N8" s="13" t="str">
        <x:v>ses_fdca6287fffemjs83TbeC2wnbV</x:v>
      </x:c>
      <x:c r="O8" s="13" t="str"/>
      <x:c r="P8" s="13" t="str"/>
      <x:c r="Q8" s="13" t="str"/>
      <x:c r="R8" s="32" t="b">
        <x:v>0</x:v>
      </x:c>
      <x:c r="S8" s="13" t="n">
        <x:v>0</x:v>
      </x:c>
      <x:c r="T8" s="13" t="n">
        <x:v>0</x:v>
      </x:c>
      <x:c r="U8" s="13" t="n">
        <x:v>0</x:v>
      </x:c>
      <x:c r="V8" s="13" t="n">
        <x:v>0</x:v>
      </x:c>
      <x:c r="W8" s="14" t="n">
        <x:v>0</x:v>
      </x:c>
      <x:c r="X8" s="13" t="str">
        <x:v>minimax-cn/MiniMax-M3</x:v>
      </x:c>
    </x:row>
    <x:row r="9" ht="32" customHeight="1">
      <x:c r="A9" s="13" t="str">
        <x:v>formal-task007-3x3-minimaxm3-20260821-02-noskill-replicate-02</x:v>
      </x:c>
      <x:c r="B9" s="13" t="str">
        <x:v>No-Skill</x:v>
      </x:c>
      <x:c r="C9" s="13" t="n">
        <x:v>2</x:v>
      </x:c>
      <x:c r="D9" s="13" t="str">
        <x:v>passed</x:v>
      </x:c>
      <x:c r="E9" s="14" t="n">
        <x:v>1</x:v>
      </x:c>
      <x:c r="F9" s="13" t="n">
        <x:v>2</x:v>
      </x:c>
      <x:c r="G9" s="13" t="n">
        <x:v>45</x:v>
      </x:c>
      <x:c r="H9" s="13" t="n">
        <x:v>43</x:v>
      </x:c>
      <x:c r="I9" s="34" t="n">
        <x:v>62758</x:v>
      </x:c>
      <x:c r="J9" s="34" t="n">
        <x:v>25602</x:v>
      </x:c>
      <x:c r="K9" s="34" t="n">
        <x:v>1499213</x:v>
      </x:c>
      <x:c r="L9" s="34" t="n">
        <x:f>I9+J9+K9</x:f>
        <x:v>1587573</x:v>
      </x:c>
      <x:c r="M9" s="15" t="n">
        <x:v>0.13950258</x:v>
      </x:c>
      <x:c r="N9" s="13" t="str">
        <x:v>ses_fdca0a6d3ffexBIOxOw5aUEols</x:v>
      </x:c>
      <x:c r="O9" s="13" t="str"/>
      <x:c r="P9" s="13" t="str"/>
      <x:c r="Q9" s="13" t="str"/>
      <x:c r="R9" s="32" t="b">
        <x:v>0</x:v>
      </x:c>
      <x:c r="S9" s="13" t="n">
        <x:v>1</x:v>
      </x:c>
      <x:c r="T9" s="13" t="n">
        <x:v>0</x:v>
      </x:c>
      <x:c r="U9" s="13" t="n">
        <x:v>0</x:v>
      </x:c>
      <x:c r="V9" s="13" t="n">
        <x:v>0</x:v>
      </x:c>
      <x:c r="W9" s="14" t="n">
        <x:v>0</x:v>
      </x:c>
      <x:c r="X9" s="13" t="str">
        <x:v>minimax-cn/MiniMax-M3</x:v>
      </x:c>
    </x:row>
    <x:row r="10" ht="32" customHeight="1">
      <x:c r="A10" s="13" t="str">
        <x:v>formal-task007-3x3-minimaxm3-20260821-02-pd-vista-replicate-03</x:v>
      </x:c>
      <x:c r="B10" s="13" t="str">
        <x:v>PD-VISTA</x:v>
      </x:c>
      <x:c r="C10" s="13" t="n">
        <x:v>3</x:v>
      </x:c>
      <x:c r="D10" s="13" t="str">
        <x:v>passed_with_clean_vista_feedback_loop</x:v>
      </x:c>
      <x:c r="E10" s="14" t="n">
        <x:v>1</x:v>
      </x:c>
      <x:c r="F10" s="13" t="n">
        <x:v>2</x:v>
      </x:c>
      <x:c r="G10" s="13" t="n">
        <x:v>85</x:v>
      </x:c>
      <x:c r="H10" s="13" t="n">
        <x:v>83</x:v>
      </x:c>
      <x:c r="I10" s="34" t="n">
        <x:v>64639</x:v>
      </x:c>
      <x:c r="J10" s="34" t="n">
        <x:v>33206</x:v>
      </x:c>
      <x:c r="K10" s="34" t="n">
        <x:v>2703800</x:v>
      </x:c>
      <x:c r="L10" s="34" t="n">
        <x:f>I10+J10+K10</x:f>
        <x:v>2801645</x:v>
      </x:c>
      <x:c r="M10" s="15" t="n">
        <x:v>0.2214669</x:v>
      </x:c>
      <x:c r="N10" s="13" t="str">
        <x:v>ses_fdc99875bffeKKMbqtjnCRTm81</x:v>
      </x:c>
      <x:c r="O10" s="13" t="str"/>
      <x:c r="P10" s="13" t="str">
        <x:v>search-attractions</x:v>
      </x:c>
      <x:c r="Q10" s="13" t="str">
        <x:v>search-attractions</x:v>
      </x:c>
      <x:c r="R10" s="32" t="b">
        <x:v>0</x:v>
      </x:c>
      <x:c r="S10" s="13" t="n">
        <x:v>1</x:v>
      </x:c>
      <x:c r="T10" s="13" t="n">
        <x:v>1</x:v>
      </x:c>
      <x:c r="U10" s="13" t="n">
        <x:v>1</x:v>
      </x:c>
      <x:c r="V10" s="13" t="n">
        <x:v>1</x:v>
      </x:c>
      <x:c r="W10" s="14" t="n">
        <x:v>1</x:v>
      </x:c>
      <x:c r="X10" s="13" t="str">
        <x:v>minimax-cn/MiniMax-M3</x:v>
      </x:c>
    </x:row>
    <x:row r="11" ht="32" customHeight="1">
      <x:c r="A11" s="13" t="str">
        <x:v>formal-task007-3x3-minimaxm3-20260821-02-noskill-replicate-03</x:v>
      </x:c>
      <x:c r="B11" s="13" t="str">
        <x:v>No-Skill</x:v>
      </x:c>
      <x:c r="C11" s="13" t="n">
        <x:v>3</x:v>
      </x:c>
      <x:c r="D11" s="13" t="str">
        <x:v>passed</x:v>
      </x:c>
      <x:c r="E11" s="14" t="n">
        <x:v>1</x:v>
      </x:c>
      <x:c r="F11" s="13" t="n">
        <x:v>1</x:v>
      </x:c>
      <x:c r="G11" s="13" t="n">
        <x:v>39</x:v>
      </x:c>
      <x:c r="H11" s="13" t="n">
        <x:v>38</x:v>
      </x:c>
      <x:c r="I11" s="34" t="n">
        <x:v>34210</x:v>
      </x:c>
      <x:c r="J11" s="34" t="n">
        <x:v>12092</x:v>
      </x:c>
      <x:c r="K11" s="34" t="n">
        <x:v>662071</x:v>
      </x:c>
      <x:c r="L11" s="34" t="n">
        <x:f>I11+J11+K11</x:f>
        <x:v>708373</x:v>
      </x:c>
      <x:c r="M11" s="15" t="n">
        <x:v>0.06449766</x:v>
      </x:c>
      <x:c r="N11" s="13" t="str">
        <x:v>ses_fdc8e7b4bffeb9pM3KhSf31BeQ</x:v>
      </x:c>
      <x:c r="O11" s="13" t="str"/>
      <x:c r="P11" s="13" t="str"/>
      <x:c r="Q11" s="13" t="str"/>
      <x:c r="R11" s="32" t="b">
        <x:v>0</x:v>
      </x:c>
      <x:c r="S11" s="13" t="n">
        <x:v>0</x:v>
      </x:c>
      <x:c r="T11" s="13" t="n">
        <x:v>0</x:v>
      </x:c>
      <x:c r="U11" s="13" t="n">
        <x:v>0</x:v>
      </x:c>
      <x:c r="V11" s="13" t="n">
        <x:v>0</x:v>
      </x:c>
      <x:c r="W11" s="14" t="n">
        <x:v>0</x:v>
      </x:c>
      <x:c r="X11" s="13" t="str">
        <x:v>minimax-cn/MiniMax-M3</x:v>
      </x:c>
    </x:row>
    <x:row r="12" ht="32" customHeight="1">
      <x:c r="A12" s="13" t="str">
        <x:v>formal-task007-3x3-minimaxm3-20260821-02-native-replicate-03</x:v>
      </x:c>
      <x:c r="B12" s="13" t="str">
        <x:v>Native</x:v>
      </x:c>
      <x:c r="C12" s="13" t="n">
        <x:v>3</x:v>
      </x:c>
      <x:c r="D12" s="13" t="str">
        <x:v>passed</x:v>
      </x:c>
      <x:c r="E12" s="14" t="n">
        <x:v>1</x:v>
      </x:c>
      <x:c r="F12" s="13" t="n">
        <x:v>1</x:v>
      </x:c>
      <x:c r="G12" s="13" t="n">
        <x:v>49</x:v>
      </x:c>
      <x:c r="H12" s="13" t="n">
        <x:v>48</x:v>
      </x:c>
      <x:c r="I12" s="34" t="n">
        <x:v>188237</x:v>
      </x:c>
      <x:c r="J12" s="34" t="n">
        <x:v>31420</x:v>
      </x:c>
      <x:c r="K12" s="34" t="n">
        <x:v>1500544</x:v>
      </x:c>
      <x:c r="L12" s="34" t="n">
        <x:f>I12+J12+K12</x:f>
        <x:v>1720201</x:v>
      </x:c>
      <x:c r="M12" s="15" t="n">
        <x:v>0.18420774</x:v>
      </x:c>
      <x:c r="N12" s="13" t="str">
        <x:v>ses_fdc8c373effep4e9fi15AXM1Wf</x:v>
      </x:c>
      <x:c r="O12" s="13" t="str">
        <x:v>search-cities, search-accommodations, search-restaurants, search-attractions, search-driving-distance, search-flights</x:v>
      </x:c>
      <x:c r="P12" s="13" t="str"/>
      <x:c r="Q12" s="13" t="str"/>
      <x:c r="R12" s="32" t="b">
        <x:v>0</x:v>
      </x:c>
      <x:c r="S12" s="13" t="n">
        <x:v>0</x:v>
      </x:c>
      <x:c r="T12" s="13" t="n">
        <x:v>0</x:v>
      </x:c>
      <x:c r="U12" s="13" t="n">
        <x:v>0</x:v>
      </x:c>
      <x:c r="V12" s="13" t="n">
        <x:v>0</x:v>
      </x:c>
      <x:c r="W12" s="14" t="n">
        <x:v>0</x:v>
      </x:c>
      <x:c r="X12" s="13" t="str">
        <x:v>minimax-cn/MiniMax-M3</x:v>
      </x:c>
    </x:row>
  </x:sheetData>
  <x:mergeCells>
    <x:mergeCell ref="A1:X1"/>
  </x:mergeCells>
  <x:pageMargins left="0.7" right="0.7" top="0.75" bottom="0.75" header="0.3" footer="0.3"/>
  <x:tableParts count="1">
    <x:tablePart xmlns:r="http://schemas.openxmlformats.org/officeDocument/2006/relationships" r:id="R54fb8279c7ec408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8" hidden="0" customWidth="1"/>
    <x:col min="4" max="4" width="14" hidden="0" customWidth="1"/>
    <x:col min="5" max="5" width="20" hidden="0" customWidth="1"/>
    <x:col min="6" max="6" width="18" hidden="0" customWidth="1"/>
    <x:col min="7" max="7" width="16" hidden="0" customWidth="1"/>
    <x:col min="8" max="8" width="16" hidden="0" customWidth="1"/>
    <x:col min="9" max="9" width="24" hidden="0" customWidth="1"/>
  </x:cols>
  <x:sheetData>
    <x:row r="1" ht="30" customHeight="1">
      <x:c r="A1" s="4" t="str">
        <x:v>Token and cost roll-up</x:v>
      </x:c>
      <x:c r="B1" s="4" t="str">
        <x:v>Token and cost roll-up</x:v>
      </x:c>
      <x:c r="C1" s="4" t="str">
        <x:v>Token and cost roll-up</x:v>
      </x:c>
      <x:c r="D1" s="4" t="str">
        <x:v>Token and cost roll-up</x:v>
      </x:c>
      <x:c r="E1" s="4" t="str">
        <x:v>Token and cost roll-up</x:v>
      </x:c>
      <x:c r="F1" s="4" t="str">
        <x:v>Token and cost roll-up</x:v>
      </x:c>
      <x:c r="G1" s="4" t="str">
        <x:v>Token and cost roll-up</x:v>
      </x:c>
      <x:c r="H1" s="4" t="str">
        <x:v>Token and cost roll-up</x:v>
      </x:c>
      <x:c r="I1" s="4" t="str">
        <x:v>Token and cost roll-up</x:v>
      </x:c>
    </x:row>
    <x:row r="3">
      <x:c r="A3" s="26" t="str">
        <x:v>Condition</x:v>
      </x:c>
      <x:c r="B3" s="26" t="str">
        <x:v>Trials</x:v>
      </x:c>
      <x:c r="C3" s="26" t="str">
        <x:v>Verifier passes</x:v>
      </x:c>
      <x:c r="D3" s="26" t="str">
        <x:v>Requests</x:v>
      </x:c>
      <x:c r="E3" s="26" t="str">
        <x:v>Input + output tokens</x:v>
      </x:c>
      <x:c r="F3" s="26" t="str">
        <x:v>Cache read tokens</x:v>
      </x:c>
      <x:c r="G3" s="26" t="str">
        <x:v>Total tokens</x:v>
      </x:c>
      <x:c r="H3" s="26" t="str">
        <x:v>Recorded cost</x:v>
      </x:c>
      <x:c r="I3" s="26" t="str">
        <x:v>Average total tokens / trial</x:v>
      </x:c>
    </x:row>
    <x:row r="4">
      <x:c r="A4" s="13" t="str">
        <x:v>No-Skill</x:v>
      </x:c>
      <x:c r="B4" s="13" t="n">
        <x:f>COUNTIF('Trial Detail'!B4:B12,A4)</x:f>
        <x:v>3</x:v>
      </x:c>
      <x:c r="C4" s="13" t="n">
        <x:f>SUMIF('Trial Detail'!B4:B12,A4,'Trial Detail'!E4:E12)</x:f>
        <x:v>3</x:v>
      </x:c>
      <x:c r="D4" s="34" t="n">
        <x:f>SUMIF('Trial Detail'!B4:B12,A4,'Trial Detail'!G4:G12)</x:f>
        <x:v>125</x:v>
      </x:c>
      <x:c r="E4" s="34" t="n">
        <x:f>SUMIF('Trial Detail'!B4:B12,A4,'Trial Detail'!I4:I12)+SUMIF('Trial Detail'!B4:B12,A4,'Trial Detail'!J4:J12)</x:f>
        <x:v>205079</x:v>
      </x:c>
      <x:c r="F4" s="34" t="n">
        <x:f>SUMIF('Trial Detail'!B4:B12,A4,'Trial Detail'!K4:K12)</x:f>
        <x:v>3329967</x:v>
      </x:c>
      <x:c r="G4" s="34" t="n">
        <x:f>E4+F4</x:f>
        <x:v>3535046</x:v>
      </x:c>
      <x:c r="H4" s="15" t="n">
        <x:f>SUMIF('Trial Detail'!B4:B12,A4,'Trial Detail'!M4:M12)</x:f>
        <x:v>0.31322652</x:v>
      </x:c>
      <x:c r="I4" s="34" t="n">
        <x:f>G4/B4</x:f>
        <x:v>1178348.6666666667</x:v>
      </x:c>
    </x:row>
    <x:row r="5">
      <x:c r="A5" s="13" t="str">
        <x:v>Native</x:v>
      </x:c>
      <x:c r="B5" s="13" t="n">
        <x:f>COUNTIF('Trial Detail'!B4:B12,A5)</x:f>
        <x:v>3</x:v>
      </x:c>
      <x:c r="C5" s="13" t="n">
        <x:f>SUMIF('Trial Detail'!B4:B12,A5,'Trial Detail'!E4:E12)</x:f>
        <x:v>3</x:v>
      </x:c>
      <x:c r="D5" s="34" t="n">
        <x:f>SUMIF('Trial Detail'!B4:B12,A5,'Trial Detail'!G4:G12)</x:f>
        <x:v>162</x:v>
      </x:c>
      <x:c r="E5" s="34" t="n">
        <x:f>SUMIF('Trial Detail'!B4:B12,A5,'Trial Detail'!I4:I12)+SUMIF('Trial Detail'!B4:B12,A5,'Trial Detail'!J4:J12)</x:f>
        <x:v>403912</x:v>
      </x:c>
      <x:c r="F5" s="34" t="n">
        <x:f>SUMIF('Trial Detail'!B4:B12,A5,'Trial Detail'!K4:K12)</x:f>
        <x:v>5109495</x:v>
      </x:c>
      <x:c r="G5" s="34" t="n">
        <x:f>E5+F5</x:f>
        <x:v>5513407</x:v>
      </x:c>
      <x:c r="H5" s="15" t="n">
        <x:f>SUMIF('Trial Detail'!B4:B12,A5,'Trial Detail'!M4:M12)</x:f>
        <x:v>0.5062224</x:v>
      </x:c>
      <x:c r="I5" s="34" t="n">
        <x:f>G5/B5</x:f>
        <x:v>1837802.3333333333</x:v>
      </x:c>
    </x:row>
    <x:row r="6">
      <x:c r="A6" s="13" t="str">
        <x:v>PD-VISTA</x:v>
      </x:c>
      <x:c r="B6" s="13" t="n">
        <x:f>COUNTIF('Trial Detail'!B4:B12,A6)</x:f>
        <x:v>3</x:v>
      </x:c>
      <x:c r="C6" s="13" t="n">
        <x:f>SUMIF('Trial Detail'!B4:B12,A6,'Trial Detail'!E4:E12)</x:f>
        <x:v>3</x:v>
      </x:c>
      <x:c r="D6" s="34" t="n">
        <x:f>SUMIF('Trial Detail'!B4:B12,A6,'Trial Detail'!G4:G12)</x:f>
        <x:v>132</x:v>
      </x:c>
      <x:c r="E6" s="34" t="n">
        <x:f>SUMIF('Trial Detail'!B4:B12,A6,'Trial Detail'!I4:I12)+SUMIF('Trial Detail'!B4:B12,A6,'Trial Detail'!J4:J12)</x:f>
        <x:v>204765</x:v>
      </x:c>
      <x:c r="F6" s="34" t="n">
        <x:f>SUMIF('Trial Detail'!B4:B12,A6,'Trial Detail'!K4:K12)</x:f>
        <x:v>3520944</x:v>
      </x:c>
      <x:c r="G6" s="34" t="n">
        <x:f>E6+F6</x:f>
        <x:v>3725709</x:v>
      </x:c>
      <x:c r="H6" s="15" t="n">
        <x:f>SUMIF('Trial Detail'!B4:B12,A6,'Trial Detail'!M4:M12)</x:f>
        <x:v>0.33263694</x:v>
      </x:c>
      <x:c r="I6" s="34" t="n">
        <x:f>G6/B6</x:f>
        <x:v>1241903</x:v>
      </x:c>
    </x:row>
    <x:row r="9">
      <x:c r="A9" s="26" t="str">
        <x:v>Metric</x:v>
      </x:c>
      <x:c r="B9" s="26" t="str">
        <x:v>Value</x:v>
      </x:c>
      <x:c r="C9" s="26" t="str">
        <x:v>Interpretation</x:v>
      </x:c>
    </x:row>
    <x:row r="10">
      <x:c r="A10" s="13" t="str">
        <x:v>Grand total tokens</x:v>
      </x:c>
      <x:c r="B10" s="34" t="n">
        <x:f>SUM(G4:G6)</x:f>
        <x:v>12774162</x:v>
      </x:c>
      <x:c r="C10" s="13" t="str">
        <x:v>Input + output + cache read across all 9 trials</x:v>
      </x:c>
    </x:row>
    <x:row r="11">
      <x:c r="A11" s="13" t="str">
        <x:v>Fresh tokens</x:v>
      </x:c>
      <x:c r="B11" s="34" t="n">
        <x:f>SUM(E4:E6)</x:f>
        <x:v>813756</x:v>
      </x:c>
      <x:c r="C11" s="13" t="str">
        <x:v>Input + output; excludes cache reads</x:v>
      </x:c>
    </x:row>
    <x:row r="12">
      <x:c r="A12" s="13" t="str">
        <x:v>PD-VISTA clean closures</x:v>
      </x:c>
      <x:c r="B12" s="13" t="n">
        <x:v>1</x:v>
      </x:c>
      <x:c r="C12" s="13" t="str">
        <x:v>Only one PD-VISTA trial had a complete failure → disclosure → access → pass loop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a0cee2fd1f10469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4" hidden="0" customWidth="1"/>
    <x:col min="3" max="3" width="38" hidden="0" customWidth="1"/>
    <x:col min="4" max="4" width="38" hidden="0" customWidth="1"/>
    <x:col min="5" max="5" width="36" hidden="0" customWidth="1"/>
    <x:col min="6" max="6" width="38" hidden="0" customWidth="1"/>
  </x:cols>
  <x:sheetData>
    <x:row r="1" ht="30" customHeight="1">
      <x:c r="A1" s="4" t="str">
        <x:v>Skill disclosure process and control logic</x:v>
      </x:c>
      <x:c r="B1" s="4" t="str">
        <x:v>Skill disclosure process and control logic</x:v>
      </x:c>
      <x:c r="C1" s="4" t="str">
        <x:v>Skill disclosure process and control logic</x:v>
      </x:c>
      <x:c r="D1" s="4" t="str">
        <x:v>Skill disclosure process and control logic</x:v>
      </x:c>
      <x:c r="E1" s="4" t="str">
        <x:v>Skill disclosure process and control logic</x:v>
      </x:c>
      <x:c r="F1" s="4" t="str">
        <x:v>Skill disclosure process and control logic</x:v>
      </x:c>
    </x:row>
    <x:row r="3">
      <x:c r="A3" s="26" t="str">
        <x:v>Stage</x:v>
      </x:c>
      <x:c r="B3" s="26" t="str">
        <x:v>Controller action</x:v>
      </x:c>
      <x:c r="C3" s="26" t="str">
        <x:v>Agent-visible files</x:v>
      </x:c>
      <x:c r="D3" s="26" t="str">
        <x:v>Controller-only files</x:v>
      </x:c>
      <x:c r="E3" s="26" t="str">
        <x:v>Evidence recorded</x:v>
      </x:c>
      <x:c r="F3" s="26" t="str">
        <x:v>Control objective</x:v>
      </x:c>
    </x:row>
    <x:row r="4" ht="50" customHeight="1">
      <x:c r="A4" s="35" t="str">
        <x:v>1 · Prepare trial</x:v>
      </x:c>
      <x:c r="B4" s="13" t="str">
        <x:v>Create an isolated workspace, verifier directory, OpenCode state directory and unique session scope.</x:v>
      </x:c>
      <x:c r="C4" s="13" t="str">
        <x:v>task.md, local data, output directory</x:v>
      </x:c>
      <x:c r="D4" s="13" t="str">
        <x:v>router-source and experiment metadata</x:v>
      </x:c>
      <x:c r="E4" s="13" t="str">
        <x:v>run_id, workspace path, verifier readiness</x:v>
      </x:c>
      <x:c r="F4" s="13" t="str">
        <x:v>Prevent cross-trial leakage and session reuse</x:v>
      </x:c>
    </x:row>
    <x:row r="5" ht="50" customHeight="1">
      <x:c r="A5" s="35" t="str">
        <x:v>2 · No-Skill baseline</x:v>
      </x:c>
      <x:c r="B5" s="13" t="str">
        <x:v>Expose no task Skill modules.</x:v>
      </x:c>
      <x:c r="C5" s="13" t="str">
        <x:v>task.md and data only</x:v>
      </x:c>
      <x:c r="D5" s="13" t="str">
        <x:v>None</x:v>
      </x:c>
      <x:c r="E5" s="13" t="str">
        <x:v>initially_available_modules = empty</x:v>
      </x:c>
      <x:c r="F5" s="13" t="str">
        <x:v>Measure solving from task and data without Skill help</x:v>
      </x:c>
    </x:row>
    <x:row r="6" ht="50" customHeight="1">
      <x:c r="A6" s="35" t="str">
        <x:v>3 · Native control</x:v>
      </x:c>
      <x:c r="B6" s="13" t="str">
        <x:v>Copy all six original modules before the first model turn.</x:v>
      </x:c>
      <x:c r="C6" s="13" t="str">
        <x:v>skills/&lt;module-id&gt;/SKILL.md and scripts</x:v>
      </x:c>
      <x:c r="D6" s="13" t="str">
        <x:v>Original source checkout</x:v>
      </x:c>
      <x:c r="E6" s="13" t="str">
        <x:v>initially_available_modules = six modules</x:v>
      </x:c>
      <x:c r="F6" s="13" t="str">
        <x:v>Measure full upfront Skill availability</x:v>
      </x:c>
    </x:row>
    <x:row r="7" ht="50" customHeight="1">
      <x:c r="A7" s="35" t="str">
        <x:v>4 · PD-VISTA start</x:v>
      </x:c>
      <x:c r="B7" s="13" t="str">
        <x:v>Expose only the VISTA root router instructions.</x:v>
      </x:c>
      <x:c r="C7" s="13" t="str">
        <x:v>VISTA.md, task.md and data</x:v>
      </x:c>
      <x:c r="D7" s="13" t="str">
        <x:v>router-source/modules/&lt;module-id&gt;</x:v>
      </x:c>
      <x:c r="E7" s="13" t="str">
        <x:v>initially_available_modules = empty</x:v>
      </x:c>
      <x:c r="F7" s="13" t="str">
        <x:v>Hide original modules until feedback justifies access</x:v>
      </x:c>
    </x:row>
    <x:row r="8" ht="50" customHeight="1">
      <x:c r="A8" s="35" t="str">
        <x:v>5 · Verify</x:v>
      </x:c>
      <x:c r="B8" s="13" t="str">
        <x:v>Run the public Verifier after each model turn.</x:v>
      </x:c>
      <x:c r="C8" s="13" t="str">
        <x:v>Only public failure summary is sent to the agent</x:v>
      </x:c>
      <x:c r="D8" s="13" t="str">
        <x:v>Verifier implementation and answers remain hidden</x:v>
      </x:c>
      <x:c r="E8" s="13" t="str">
        <x:v>verifier-turn-N.txt, feedback types</x:v>
      </x:c>
      <x:c r="F8" s="13" t="str">
        <x:v>Prevent oracle leakage</x:v>
      </x:c>
    </x:row>
    <x:row r="9" ht="50" customHeight="1">
      <x:c r="A9" s="35" t="str">
        <x:v>6 · Route</x:v>
      </x:c>
      <x:c r="B9" s="13" t="str">
        <x:v>For PD-VISTA only, map feedback type to one manifest module.</x:v>
      </x:c>
      <x:c r="C9" s="13" t="str">
        <x:v>No new file until copy completes</x:v>
      </x:c>
      <x:c r="D9" s="13" t="str">
        <x:v>manifest.yaml and hidden module copies</x:v>
      </x:c>
      <x:c r="E9" s="13" t="str">
        <x:v>routable_feedback, successful_disclosures</x:v>
      </x:c>
      <x:c r="F9" s="13" t="str">
        <x:v>Make disclosure deterministic and feedback-driven</x:v>
      </x:c>
    </x:row>
    <x:row r="10" ht="50" customHeight="1">
      <x:c r="A10" s="35" t="str">
        <x:v>7 · Prove access</x:v>
      </x:c>
      <x:c r="B10" s="13" t="str">
        <x:v>Continue the same session and inspect completed tool events for the disclosed SKILL.md.</x:v>
      </x:c>
      <x:c r="C10" s="13" t="str">
        <x:v>The newly disclosed complete module directory</x:v>
      </x:c>
      <x:c r="D10" s="13" t="str">
        <x:v>Disclosure source and digest evidence</x:v>
      </x:c>
      <x:c r="E10" s="13" t="str">
        <x:v>accessed_modules_after_disclosure, clean_complete_closure</x:v>
      </x:c>
      <x:c r="F10" s="13" t="str">
        <x:v>Distinguish copied files from actual model use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03b24b0db420476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0" hidden="0" customWidth="1"/>
    <x:col min="5" max="5" width="24" hidden="0" customWidth="1"/>
    <x:col min="6" max="6" width="28" hidden="0" customWidth="1"/>
    <x:col min="7" max="7" width="22" hidden="0" customWidth="1"/>
    <x:col min="8" max="8" width="38" hidden="0" customWidth="1"/>
  </x:cols>
  <x:sheetData>
    <x:row r="1" ht="30" customHeight="1">
      <x:c r="A1" s="4" t="str">
        <x:v>Disclosure evidence by condition and PD-VISTA trial</x:v>
      </x:c>
      <x:c r="B1" s="4" t="str">
        <x:v>Disclosure evidence by condition and PD-VISTA trial</x:v>
      </x:c>
      <x:c r="C1" s="4" t="str">
        <x:v>Disclosure evidence by condition and PD-VISTA trial</x:v>
      </x:c>
      <x:c r="D1" s="4" t="str">
        <x:v>Disclosure evidence by condition and PD-VISTA trial</x:v>
      </x:c>
      <x:c r="E1" s="4" t="str">
        <x:v>Disclosure evidence by condition and PD-VISTA trial</x:v>
      </x:c>
      <x:c r="F1" s="4" t="str">
        <x:v>Disclosure evidence by condition and PD-VISTA trial</x:v>
      </x:c>
      <x:c r="G1" s="4" t="str">
        <x:v>Disclosure evidence by condition and PD-VISTA trial</x:v>
      </x:c>
      <x:c r="H1" s="4" t="str">
        <x:v>Disclosure evidence by condition and PD-VISTA trial</x:v>
      </x:c>
    </x:row>
    <x:row r="3">
      <x:c r="A3" s="26" t="str">
        <x:v>Condition / trial</x:v>
      </x:c>
      <x:c r="B3" s="26" t="str">
        <x:v>Initial visibility</x:v>
      </x:c>
      <x:c r="C3" s="26" t="str">
        <x:v>Initial result</x:v>
      </x:c>
      <x:c r="D3" s="26" t="str">
        <x:v>Trigger opportunities</x:v>
      </x:c>
      <x:c r="E3" s="26" t="str">
        <x:v>Routed module</x:v>
      </x:c>
      <x:c r="F3" s="26" t="str">
        <x:v>Actual access proof</x:v>
      </x:c>
      <x:c r="G3" s="26" t="str">
        <x:v>Final result</x:v>
      </x:c>
      <x:c r="H3" s="26" t="str">
        <x:v>Interpretation</x:v>
      </x:c>
    </x:row>
    <x:row r="4">
      <x:c r="A4" s="13" t="str">
        <x:v>No-Skill · all 3</x:v>
      </x:c>
      <x:c r="B4" s="13" t="str">
        <x:v>No modules</x:v>
      </x:c>
      <x:c r="C4" s="13" t="str">
        <x:v>3/3 final pass</x:v>
      </x:c>
      <x:c r="D4" s="13" t="n">
        <x:v>0</x:v>
      </x:c>
      <x:c r="E4" s="13" t="str">
        <x:v>None</x:v>
      </x:c>
      <x:c r="F4" s="13" t="str">
        <x:v>None</x:v>
      </x:c>
      <x:c r="G4" s="13" t="str">
        <x:v>3/3 pass</x:v>
      </x:c>
      <x:c r="H4" s="13" t="str">
        <x:v>Control: no Skill exposure</x:v>
      </x:c>
    </x:row>
    <x:row r="5">
      <x:c r="A5" s="13" t="str">
        <x:v>Native · all 3</x:v>
      </x:c>
      <x:c r="B5" s="13" t="str">
        <x:v>All 6 modules</x:v>
      </x:c>
      <x:c r="C5" s="13" t="str">
        <x:v>3/3 final pass</x:v>
      </x:c>
      <x:c r="D5" s="13" t="n">
        <x:v>1</x:v>
      </x:c>
      <x:c r="E5" s="13" t="str">
        <x:v>None</x:v>
      </x:c>
      <x:c r="F5" s="13" t="str">
        <x:v>Not applicable</x:v>
      </x:c>
      <x:c r="G5" s="13" t="str">
        <x:v>3/3 pass</x:v>
      </x:c>
      <x:c r="H5" s="13" t="str">
        <x:v>Control: full upfront exposure</x:v>
      </x:c>
    </x:row>
    <x:row r="6">
      <x:c r="A6" s="13" t="str">
        <x:v>PD-VISTA · replicate 1</x:v>
      </x:c>
      <x:c r="B6" s="13" t="str">
        <x:v>Root router only</x:v>
      </x:c>
      <x:c r="C6" s="13" t="str">
        <x:v>Pass on turn 1</x:v>
      </x:c>
      <x:c r="D6" s="13" t="n">
        <x:v>0</x:v>
      </x:c>
      <x:c r="E6" s="13" t="str">
        <x:v>None</x:v>
      </x:c>
      <x:c r="F6" s="13" t="str">
        <x:v>None</x:v>
      </x:c>
      <x:c r="G6" s="13" t="str">
        <x:v>Pass without closure</x:v>
      </x:c>
      <x:c r="H6" s="13" t="str">
        <x:v>No disclosure opportunity occurred</x:v>
      </x:c>
    </x:row>
    <x:row r="7">
      <x:c r="A7" s="13" t="str">
        <x:v>PD-VISTA · replicate 2</x:v>
      </x:c>
      <x:c r="B7" s="13" t="str">
        <x:v>Root router only</x:v>
      </x:c>
      <x:c r="C7" s="13" t="str">
        <x:v>Pass on turn 1</x:v>
      </x:c>
      <x:c r="D7" s="13" t="n">
        <x:v>0</x:v>
      </x:c>
      <x:c r="E7" s="13" t="str">
        <x:v>None</x:v>
      </x:c>
      <x:c r="F7" s="13" t="str">
        <x:v>None</x:v>
      </x:c>
      <x:c r="G7" s="13" t="str">
        <x:v>Pass without closure</x:v>
      </x:c>
      <x:c r="H7" s="13" t="str">
        <x:v>No disclosure opportunity occurred</x:v>
      </x:c>
    </x:row>
    <x:row r="8">
      <x:c r="A8" s="14" t="str">
        <x:v>PD-VISTA · replicate 3</x:v>
      </x:c>
      <x:c r="B8" s="14" t="str">
        <x:v>Root router only</x:v>
      </x:c>
      <x:c r="C8" s="14" t="str">
        <x:v>Fail on turn 1</x:v>
      </x:c>
      <x:c r="D8" s="14" t="n">
        <x:v>1</x:v>
      </x:c>
      <x:c r="E8" s="14" t="str">
        <x:v>search-attractions</x:v>
      </x:c>
      <x:c r="F8" s="14" t="str">
        <x:v>Read in turn 2</x:v>
      </x:c>
      <x:c r="G8" s="14" t="str">
        <x:v>Pass on turn 2</x:v>
      </x:c>
      <x:c r="H8" s="14" t="str">
        <x:v>Complete clean disclosure closure</x:v>
      </x:c>
    </x:row>
    <x:row r="9">
      <x:c r="A9" s="36" t="str">
        <x:v>PD-VISTA aggregate</x:v>
      </x:c>
      <x:c r="B9" s="36" t="str">
        <x:v>Root router only</x:v>
      </x:c>
      <x:c r="C9" s="36" t="str">
        <x:v>3/3 final pass</x:v>
      </x:c>
      <x:c r="D9" s="36" t="n">
        <x:v>1</x:v>
      </x:c>
      <x:c r="E9" s="36" t="str">
        <x:v>search-attractions</x:v>
      </x:c>
      <x:c r="F9" s="36" t="str">
        <x:v>1 confirmed access</x:v>
      </x:c>
      <x:c r="G9" s="36" t="str">
        <x:v>3/3 pass</x:v>
      </x:c>
      <x:c r="H9" s="36" t="str">
        <x:v>1/3 trials had a full feedback loop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02374ceed314b6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28" hidden="0" customWidth="1"/>
    <x:col min="4" max="4" width="44" hidden="0" customWidth="1"/>
    <x:col min="5" max="5" width="56" hidden="0" customWidth="1"/>
  </x:cols>
  <x:sheetData>
    <x:row r="1" ht="30" customHeight="1">
      <x:c r="A1" s="4" t="str">
        <x:v>Final audit JSON → workbook field map</x:v>
      </x:c>
      <x:c r="B1" s="4" t="str">
        <x:v>Final audit JSON → workbook field map</x:v>
      </x:c>
      <x:c r="C1" s="4" t="str">
        <x:v>Final audit JSON → workbook field map</x:v>
      </x:c>
      <x:c r="D1" s="4" t="str">
        <x:v>Final audit JSON → workbook field map</x:v>
      </x:c>
      <x:c r="E1" s="4" t="str">
        <x:v>Final audit JSON → workbook field map</x:v>
      </x:c>
    </x:row>
    <x:row r="3">
      <x:c r="A3" s="26" t="str">
        <x:v>JSON section</x:v>
      </x:c>
      <x:c r="B3" s="26" t="str">
        <x:v>JSON path</x:v>
      </x:c>
      <x:c r="C3" s="26" t="str">
        <x:v>Workbook location</x:v>
      </x:c>
      <x:c r="D3" s="26" t="str">
        <x:v>Meaning</x:v>
      </x:c>
      <x:c r="E3" s="26" t="str">
        <x:v>Source / note</x:v>
      </x:c>
    </x:row>
    <x:row r="4" ht="32" customHeight="1">
      <x:c r="A4" s="35" t="str">
        <x:v>Run</x:v>
      </x:c>
      <x:c r="B4" s="13" t="str">
        <x:v>run_id</x:v>
      </x:c>
      <x:c r="C4" s="13" t="str">
        <x:v>Summary!B3</x:v>
      </x:c>
      <x:c r="D4" s="13" t="str">
        <x:v>Unique formal experiment identifier</x:v>
      </x:c>
      <x:c r="E4" s="13" t="str">
        <x:v>/Users/wangjinhua/Downloads/vista-travel-macos-handoff-20260819-192318/data/raw/formal-task007-3x3-minimaxm3-20260821-02/posthoc-audit.json</x:v>
      </x:c>
    </x:row>
    <x:row r="5" ht="32" customHeight="1">
      <x:c r="A5" s="35" t="str">
        <x:v>Run</x:v>
      </x:c>
      <x:c r="B5" s="13" t="str">
        <x:v>audit_status</x:v>
      </x:c>
      <x:c r="C5" s="13" t="str">
        <x:v>Summary!B4</x:v>
      </x:c>
      <x:c r="D5" s="13" t="str">
        <x:v>Overall post-hoc audit status</x:v>
      </x:c>
      <x:c r="E5" s="13" t="str">
        <x:v>posthoc-audit.json</x:v>
      </x:c>
    </x:row>
    <x:row r="6" ht="32" customHeight="1">
      <x:c r="A6" s="35" t="str">
        <x:v>Run</x:v>
      </x:c>
      <x:c r="B6" s="13" t="str">
        <x:v>completed_trials</x:v>
      </x:c>
      <x:c r="C6" s="13" t="str">
        <x:v>Summary!B5</x:v>
      </x:c>
      <x:c r="D6" s="13" t="str">
        <x:v>Number of completed trials</x:v>
      </x:c>
      <x:c r="E6" s="13" t="str">
        <x:v>posthoc-audit.json</x:v>
      </x:c>
    </x:row>
    <x:row r="7" ht="32" customHeight="1">
      <x:c r="A7" s="35" t="str">
        <x:v>Run</x:v>
      </x:c>
      <x:c r="B7" s="13" t="str">
        <x:v>unique_sessions</x:v>
      </x:c>
      <x:c r="C7" s="13" t="str">
        <x:v>Summary!B6</x:v>
      </x:c>
      <x:c r="D7" s="13" t="str">
        <x:v>Count of distinct OpenCode sessions</x:v>
      </x:c>
      <x:c r="E7" s="13" t="str">
        <x:v>posthoc-audit.json</x:v>
      </x:c>
    </x:row>
    <x:row r="8" ht="32" customHeight="1">
      <x:c r="A8" s="35" t="str">
        <x:v>Model</x:v>
      </x:c>
      <x:c r="B8" s="13" t="str">
        <x:v>model_identity.provider_id</x:v>
      </x:c>
      <x:c r="C8" s="13" t="str">
        <x:v>Summary!B8</x:v>
      </x:c>
      <x:c r="D8" s="13" t="str">
        <x:v>Actual provider confirmed from OpenCode DB</x:v>
      </x:c>
      <x:c r="E8" s="13" t="str">
        <x:v>posthoc-audit.json</x:v>
      </x:c>
    </x:row>
    <x:row r="9" ht="32" customHeight="1">
      <x:c r="A9" s="35" t="str">
        <x:v>Model</x:v>
      </x:c>
      <x:c r="B9" s="13" t="str">
        <x:v>model_identity.model_id</x:v>
      </x:c>
      <x:c r="C9" s="13" t="str">
        <x:v>Summary!B8</x:v>
      </x:c>
      <x:c r="D9" s="13" t="str">
        <x:v>Actual model confirmed from OpenCode DB</x:v>
      </x:c>
      <x:c r="E9" s="13" t="str">
        <x:v>posthoc-audit.json</x:v>
      </x:c>
    </x:row>
    <x:row r="10" ht="32" customHeight="1">
      <x:c r="A10" s="35" t="str">
        <x:v>Trial</x:v>
      </x:c>
      <x:c r="B10" s="13" t="str">
        <x:v>group-summary.results[*]</x:v>
      </x:c>
      <x:c r="C10" s="13" t="str">
        <x:v>Trial Detail!A4:X12</x:v>
      </x:c>
      <x:c r="D10" s="13" t="str">
        <x:v>One row per condition × replicate</x:v>
      </x:c>
      <x:c r="E10" s="13" t="str">
        <x:v>/Users/wangjinhua/Downloads/vista-travel-macos-handoff-20260819-192318/data/raw/formal-task007-3x3-minimaxm3-20260821-02/group-summary.json</x:v>
      </x:c>
    </x:row>
    <x:row r="11" ht="32" customHeight="1">
      <x:c r="A11" s="35" t="str">
        <x:v>Tokens</x:v>
      </x:c>
      <x:c r="B11" s="13" t="str">
        <x:v>conditions.*.requests</x:v>
      </x:c>
      <x:c r="C11" s="13" t="str">
        <x:v>Token &amp; Cost!D4:D6</x:v>
      </x:c>
      <x:c r="D11" s="13" t="str">
        <x:v>Model request count by condition</x:v>
      </x:c>
      <x:c r="E11" s="13" t="str">
        <x:v>Formula roll-up from Trial Detail</x:v>
      </x:c>
    </x:row>
    <x:row r="12" ht="32" customHeight="1">
      <x:c r="A12" s="35" t="str">
        <x:v>Tokens</x:v>
      </x:c>
      <x:c r="B12" s="13" t="str">
        <x:v>conditions.*.input_tokens + output_tokens</x:v>
      </x:c>
      <x:c r="C12" s="13" t="str">
        <x:v>Token &amp; Cost!E4:E6</x:v>
      </x:c>
      <x:c r="D12" s="13" t="str">
        <x:v>Fresh input and output tokens</x:v>
      </x:c>
      <x:c r="E12" s="13" t="str">
        <x:v>Formula roll-up from Trial Detail</x:v>
      </x:c>
    </x:row>
    <x:row r="13" ht="32" customHeight="1">
      <x:c r="A13" s="35" t="str">
        <x:v>Tokens</x:v>
      </x:c>
      <x:c r="B13" s="13" t="str">
        <x:v>conditions.*.cache_read_tokens</x:v>
      </x:c>
      <x:c r="C13" s="13" t="str">
        <x:v>Token &amp; Cost!F4:F6</x:v>
      </x:c>
      <x:c r="D13" s="13" t="str">
        <x:v>Cache-read token count</x:v>
      </x:c>
      <x:c r="E13" s="13" t="str">
        <x:v>Formula roll-up from Trial Detail</x:v>
      </x:c>
    </x:row>
    <x:row r="14" ht="32" customHeight="1">
      <x:c r="A14" s="35" t="str">
        <x:v>Tokens</x:v>
      </x:c>
      <x:c r="B14" s="13" t="str">
        <x:v>conditions.*.recorded_cost</x:v>
      </x:c>
      <x:c r="C14" s="13" t="str">
        <x:v>Token &amp; Cost!H4:H6</x:v>
      </x:c>
      <x:c r="D14" s="13" t="str">
        <x:v>OpenCode recorded cost</x:v>
      </x:c>
      <x:c r="E14" s="13" t="str">
        <x:v>Trial-level values from audit</x:v>
      </x:c>
    </x:row>
    <x:row r="15" ht="32" customHeight="1">
      <x:c r="A15" s="35" t="str">
        <x:v>Disclosure</x:v>
      </x:c>
      <x:c r="B15" s="13" t="str">
        <x:v>conditions.pd-vista.trigger_opportunities</x:v>
      </x:c>
      <x:c r="C15" s="13" t="str">
        <x:v>Disclosure Evidence!D8:D9</x:v>
      </x:c>
      <x:c r="D15" s="13" t="str">
        <x:v>PD-VISTA verifier-failure opportunities</x:v>
      </x:c>
      <x:c r="E15" s="13" t="str">
        <x:v>posthoc-audit.json</x:v>
      </x:c>
    </x:row>
    <x:row r="16" ht="32" customHeight="1">
      <x:c r="A16" s="35" t="str">
        <x:v>Disclosure</x:v>
      </x:c>
      <x:c r="B16" s="13" t="str">
        <x:v>conditions.pd-vista.successful_disclosures</x:v>
      </x:c>
      <x:c r="C16" s="13" t="str">
        <x:v>Disclosure Evidence!E8:E9</x:v>
      </x:c>
      <x:c r="D16" s="13" t="str">
        <x:v>Number of modules copied after routing</x:v>
      </x:c>
      <x:c r="E16" s="13" t="str">
        <x:v>posthoc-audit.json</x:v>
      </x:c>
    </x:row>
    <x:row r="17" ht="32" customHeight="1">
      <x:c r="A17" s="35" t="str">
        <x:v>Disclosure</x:v>
      </x:c>
      <x:c r="B17" s="13" t="str">
        <x:v>conditions.pd-vista.next_round_module_access</x:v>
      </x:c>
      <x:c r="C17" s="13" t="str">
        <x:v>Disclosure Evidence!F8:F9</x:v>
      </x:c>
      <x:c r="D17" s="13" t="str">
        <x:v>Confirmed subsequent module access</x:v>
      </x:c>
      <x:c r="E17" s="13" t="str">
        <x:v>posthoc-audit.json</x:v>
      </x:c>
    </x:row>
    <x:row r="18" ht="32" customHeight="1">
      <x:c r="A18" s="35" t="str">
        <x:v>Disclosure</x:v>
      </x:c>
      <x:c r="B18" s="13" t="str">
        <x:v>conditions.pd-vista.clean_complete_closures</x:v>
      </x:c>
      <x:c r="C18" s="13" t="str">
        <x:v>Token &amp; Cost!B12</x:v>
      </x:c>
      <x:c r="D18" s="13" t="str">
        <x:v>Full feedback → disclosure → access → pass closures</x:v>
      </x:c>
      <x:c r="E18" s="13" t="str">
        <x:v>posthoc-audit.json</x:v>
      </x:c>
    </x:row>
    <x:row r="19" ht="32" customHeight="1">
      <x:c r="A19" s="35" t="str">
        <x:v>Integrity</x:v>
      </x:c>
      <x:c r="B19" s="13" t="str">
        <x:v>all_final_verifiers_10_passed</x:v>
      </x:c>
      <x:c r="C19" s="13" t="str">
        <x:v>Summary!B20</x:v>
      </x:c>
      <x:c r="D19" s="13" t="str">
        <x:v>All final Verifier runs passed 10 tests</x:v>
      </x:c>
      <x:c r="E19" s="13" t="str">
        <x:v>posthoc-audit.json</x:v>
      </x:c>
    </x:row>
    <x:row r="20" ht="32" customHeight="1">
      <x:c r="A20" s="35" t="str">
        <x:v>Integrity</x:v>
      </x:c>
      <x:c r="B20" s="13" t="str">
        <x:v>docker_used</x:v>
      </x:c>
      <x:c r="C20" s="13" t="str">
        <x:v>Summary!B23</x:v>
      </x:c>
      <x:c r="D20" s="13" t="str">
        <x:v>Whether any container execution occurred</x:v>
      </x:c>
      <x:c r="E20" s="13" t="str">
        <x:v>posthoc-audit.json</x:v>
      </x:c>
    </x:row>
    <x:row r="21" ht="32" customHeight="1">
      <x:c r="A21" s="35" t="str">
        <x:v>Integrity</x:v>
      </x:c>
      <x:c r="B21" s="13" t="str">
        <x:v>model_identity.consistent_across_all_trials</x:v>
      </x:c>
      <x:c r="C21" s="13" t="str">
        <x:v>Summary!B24</x:v>
      </x:c>
      <x:c r="D21" s="13" t="str">
        <x:v>Provider/model identity was stable</x:v>
      </x:c>
      <x:c r="E21" s="13" t="str">
        <x:v>posthoc-audit.json</x:v>
      </x:c>
    </x:row>
    <x:row r="22" ht="32" customHeight="1">
      <x:c r="A22" s="35" t="str">
        <x:v>Integrity</x:v>
      </x:c>
      <x:c r="B22" s="13" t="str">
        <x:v>conditions.pd-vista.distractor_flight_disclosed</x:v>
      </x:c>
      <x:c r="C22" s="13" t="str">
        <x:v>Summary!B25</x:v>
      </x:c>
      <x:c r="D22" s="13" t="str">
        <x:v>Whether forbidden flight module was disclosed</x:v>
      </x:c>
      <x:c r="E22" s="13" t="str">
        <x:v>posthoc-audit.json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d3f26d67ffc4e66"/>
  </x:tableParts>
</x:worksheet>
</file>