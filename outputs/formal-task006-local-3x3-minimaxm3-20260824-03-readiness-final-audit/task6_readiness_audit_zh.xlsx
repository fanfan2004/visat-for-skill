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a7e558330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总览" sheetId="1" r:id="R1f49428c52f34b56"/>
    <x:sheet xmlns:r="http://schemas.openxmlformats.org/officeDocument/2006/relationships" name="9组明细" sheetId="2" r:id="R58d9f8d07ecf4c56"/>
    <x:sheet xmlns:r="http://schemas.openxmlformats.org/officeDocument/2006/relationships" name="Token与成本" sheetId="3" r:id="R7bd19d81b3344996"/>
    <x:sheet xmlns:r="http://schemas.openxmlformats.org/officeDocument/2006/relationships" name="方法与流程" sheetId="4" r:id="Rb7e6f45503e74fad"/>
    <x:sheet xmlns:r="http://schemas.openxmlformats.org/officeDocument/2006/relationships" name="条件提示词" sheetId="5" r:id="Rda0993bd3c0d4f79"/>
    <x:sheet xmlns:r="http://schemas.openxmlformats.org/officeDocument/2006/relationships" name="PD-VISTA披露证据" sheetId="6" r:id="R1c5c2822e01648a2"/>
    <x:sheet xmlns:r="http://schemas.openxmlformats.org/officeDocument/2006/relationships" name="字段映射" sheetId="7" r:id="Rb4bd87cca882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00"/>
    <x:numFmt numFmtId="202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5364A"/>
      <x:name val="Carlito"/>
    </x:font>
    <x:font>
      <x:sz val="11"/>
      <x:color rgb="FF25364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8CCE4"/>
      </x:left>
      <x:right style="thin">
        <x:color rgb="FFB8CCE4"/>
      </x:right>
      <x:top style="thin">
        <x:color rgb="FFB8CCE4"/>
      </x:top>
      <x:bottom style="thin">
        <x:color rgb="FFB8CCE4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3" fillId="0" borderId="1" xfId="0" applyNumberFormat="1" applyFont="1" applyFill="1" applyBorder="1" applyAlignment="1">
      <x:alignment wrapText="0"/>
    </x:xf>
    <x:xf numFmtId="202" fontId="3" fillId="0" borderId="1" xfId="0" applyNumberFormat="1" applyFont="1" applyFill="1" applyBorder="1" applyAlignment="1">
      <x:alignment wrapText="0"/>
    </x:xf>
    <x:xf numFmtId="200" fontId="3" fillId="0" borderId="1" xfId="0" applyNumberFormat="1" applyFont="1" applyFill="1" applyBorder="1" applyAlignment="1">
      <x:alignment wrapText="0"/>
    </x:xf>
    <x:xf numFmtId="201" fontId="3" fillId="0" borderId="1" xfId="0" applyNumberFormat="1" applyFont="1" applyFill="1" applyBorder="1" applyAlignment="1">
      <x:alignment wrapText="0"/>
    </x:xf>
    <x:xf numFmtId="0" fontId="3" fillId="7" borderId="1" xfId="0" applyNumberFormat="1" applyFont="1" applyFill="1" applyBorder="1" applyAlignment="1">
      <x:alignment wrapText="0"/>
    </x:xf>
    <x:xf numFmtId="0" fontId="2" fillId="7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wrapText="0"/>
    </x:xf>
    <x:xf numFmtId="0" fontId="3" fillId="5" borderId="1" xfId="0" applyNumberFormat="1" applyFont="1" applyFill="1" applyBorder="1" applyAlignment="1">
      <x:alignment wrapText="0"/>
    </x:xf>
    <x:xf numFmtId="0" fontId="3" fillId="8" borderId="1" xfId="0" applyNumberFormat="1" applyFont="1" applyFill="1" applyBorder="1" applyAlignment="1">
      <x:alignment wrapText="0"/>
    </x:xf>
    <x:xf numFmtId="0" fontId="3" fillId="8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745a5b83947d8" /><Relationship Type="http://schemas.openxmlformats.org/officeDocument/2006/relationships/theme" Target="/xl/theme/theme1.xml" Id="R7f56d30aa99b401b" /><Relationship Type="http://schemas.openxmlformats.org/officeDocument/2006/relationships/sharedStrings" Target="/xl/sharedStrings.xml" Id="Rcb7988a8e74a4630" /><Relationship Type="http://schemas.openxmlformats.org/officeDocument/2006/relationships/worksheet" Target="/xl/worksheets/sheet1.xml" Id="R1f49428c52f34b56" /><Relationship Type="http://schemas.openxmlformats.org/officeDocument/2006/relationships/worksheet" Target="/xl/worksheets/sheet2.xml" Id="R58d9f8d07ecf4c56" /><Relationship Type="http://schemas.openxmlformats.org/officeDocument/2006/relationships/worksheet" Target="/xl/worksheets/sheet3.xml" Id="R7bd19d81b3344996" /><Relationship Type="http://schemas.openxmlformats.org/officeDocument/2006/relationships/worksheet" Target="/xl/worksheets/sheet4.xml" Id="Rb7e6f45503e74fad" /><Relationship Type="http://schemas.openxmlformats.org/officeDocument/2006/relationships/worksheet" Target="/xl/worksheets/sheet5.xml" Id="Rda0993bd3c0d4f79" /><Relationship Type="http://schemas.openxmlformats.org/officeDocument/2006/relationships/worksheet" Target="/xl/worksheets/sheet6.xml" Id="R1c5c2822e01648a2" /><Relationship Type="http://schemas.openxmlformats.org/officeDocument/2006/relationships/worksheet" Target="/xl/worksheets/sheet7.xml" Id="Rb4bd87cca8824696" /></Relationships>
</file>

<file path=xl/tables/table1.xml><?xml version="1.0" encoding="utf-8"?>
<x:table xmlns:x="http://schemas.openxmlformats.org/spreadsheetml/2006/main" id="1" name="Task6PlannedTrialDetail" displayName="Task6PlannedTrialDetail" ref="A3:T12" headerRowCount="1" totalsRowCount="0" totalsRowShown="0">
  <x:tableColumns count="20">
    <x:tableColumn id="1" name="序号"/>
    <x:tableColumn id="2" name="条件"/>
    <x:tableColumn id="3" name="重复"/>
    <x:tableColumn id="4" name="平衡顺序"/>
    <x:tableColumn id="5" name="状态"/>
    <x:tableColumn id="6" name="最终Verifier"/>
    <x:tableColumn id="7" name="Session ID"/>
    <x:tableColumn id="8" name="请求数"/>
    <x:tableColumn id="9" name="工具调用"/>
    <x:tableColumn id="10" name="轮次"/>
    <x:tableColumn id="11" name="输入Token"/>
    <x:tableColumn id="12" name="输出Token"/>
    <x:tableColumn id="13" name="缓存读取Token"/>
    <x:tableColumn id="14" name="输入+输出Token"/>
    <x:tableColumn id="15" name="记录费用"/>
    <x:tableColumn id="16" name="超时次数"/>
    <x:tableColumn id="17" name="PD触发机会"/>
    <x:tableColumn id="18" name="披露模块"/>
    <x:tableColumn id="19" name="下一轮实际访问"/>
    <x:tableColumn id="20" name="证据/原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6UsageDetail" displayName="Task6UsageDetail" ref="A4:K13" headerRowCount="1" totalsRowCount="0" totalsRowShown="0">
  <x:tableColumns count="11">
    <x:tableColumn id="1" name="组ID"/>
    <x:tableColumn id="2" name="条件"/>
    <x:tableColumn id="3" name="重复"/>
    <x:tableColumn id="4" name="请求数"/>
    <x:tableColumn id="5" name="工具调用"/>
    <x:tableColumn id="6" name="输入Token"/>
    <x:tableColumn id="7" name="输出Token"/>
    <x:tableColumn id="8" name="缓存读取Token"/>
    <x:tableColumn id="9" name="输入+输出Token"/>
    <x:tableColumn id="10" name="记录费用"/>
    <x:tableColumn id="11" name="Session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fbbf4c2e1e4e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cd9cf18e1d41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Vista task6 · 三条件 × 三重复本机 OpenCode 审计（就绪阻断，未启动正式批次）</x:v>
      </x:c>
      <x:c r="B1" s="3" t="str">
        <x:v>Vista task6 · 三条件 × 三重复本机 OpenCode 审计（就绪阻断，未启动正式批次）</x:v>
      </x:c>
      <x:c r="C1" s="3" t="str">
        <x:v>Vista task6 · 三条件 × 三重复本机 OpenCode 审计（就绪阻断，未启动正式批次）</x:v>
      </x:c>
      <x:c r="D1" s="3" t="str">
        <x:v>Vista task6 · 三条件 × 三重复本机 OpenCode 审计（就绪阻断，未启动正式批次）</x:v>
      </x:c>
      <x:c r="E1" s="3" t="str">
        <x:v>Vista task6 · 三条件 × 三重复本机 OpenCode 审计（就绪阻断，未启动正式批次）</x:v>
      </x:c>
      <x:c r="F1" s="3" t="str">
        <x:v>Vista task6 · 三条件 × 三重复本机 OpenCode 审计（就绪阻断，未启动正式批次）</x:v>
      </x:c>
      <x:c r="G1" s="3" t="str">
        <x:v>Vista task6 · 三条件 × 三重复本机 OpenCode 审计（就绪阻断，未启动正式批次）</x:v>
      </x:c>
      <x:c r="H1" s="3" t="str">
        <x:v>Vista task6 · 三条件 × 三重复本机 OpenCode 审计（就绪阻断，未启动正式批次）</x:v>
      </x:c>
    </x:row>
    <x:row r="3">
      <x:c r="A3" s="22" t="str">
        <x:v>诊断批次</x:v>
      </x:c>
      <x:c r="B3" s="17" t="str">
        <x:v>formal-task006-local-3x3-minimaxm3-20260824-03-readiness-final</x:v>
      </x:c>
    </x:row>
    <x:row r="4">
      <x:c r="A4" s="22" t="str">
        <x:v>任务</x:v>
      </x:c>
      <x:c r="B4" s="17" t="str">
        <x:v>task-006 · fix-build-agentops 构建修复</x:v>
      </x:c>
    </x:row>
    <x:row r="5">
      <x:c r="A5" s="22" t="str">
        <x:v>审计状态</x:v>
      </x:c>
      <x:c r="B5" s="11" t="str">
        <x:v>未就绪：正式批次未启动</x:v>
      </x:c>
    </x:row>
    <x:row r="6">
      <x:c r="A6" s="22" t="str">
        <x:v>计划试验</x:v>
      </x:c>
      <x:c r="B6" s="17" t="n">
        <x:f>COUNTA('9组明细'!$A$4:$A$12)</x:f>
        <x:v>9</x:v>
      </x:c>
    </x:row>
    <x:row r="7">
      <x:c r="A7" s="22" t="str">
        <x:v>完成试验</x:v>
      </x:c>
      <x:c r="B7" s="12" t="n">
        <x:f>COUNTIF('9组明细'!$E$4:$E$12,"已完成")</x:f>
        <x:v>0</x:v>
      </x:c>
    </x:row>
    <x:row r="8">
      <x:c r="A8" s="22" t="str">
        <x:v>独立会话</x:v>
      </x:c>
      <x:c r="B8" s="12" t="n">
        <x:f>COUNTA('9组明细'!$G$4:$G$12)</x:f>
        <x:v>0</x:v>
      </x:c>
    </x:row>
    <x:row r="9">
      <x:c r="A9" s="22" t="str">
        <x:v>最终Verifier</x:v>
      </x:c>
      <x:c r="B9" s="12" t="str">
        <x:f>COUNTIF('9组明细'!$F$4:$F$12,"通过")&amp;"/9 组通过"</x:f>
        <x:v>0/9 组通过</x:v>
      </x:c>
    </x:row>
    <x:row r="10">
      <x:c r="A10" s="22" t="str">
        <x:v>当前提供商 / 模型</x:v>
      </x:c>
      <x:c r="B10" s="17" t="str">
        <x:v>minimax-cn/MiniMax-M3</x:v>
      </x:c>
    </x:row>
    <x:row r="11">
      <x:c r="A11" s="22" t="str">
        <x:v>OpenCode 记录费用</x:v>
      </x:c>
      <x:c r="B11" s="20" t="n">
        <x:f>SUM('9组明细'!$O$4:$O$12)</x:f>
        <x:v>0</x:v>
      </x:c>
    </x:row>
    <x:row r="14" ht="22" customHeight="1">
      <x:c r="A14" s="16" t="str">
        <x:v>三种条件结果总览</x:v>
      </x:c>
      <x:c r="B14" s="16" t="str">
        <x:v>三种条件结果总览</x:v>
      </x:c>
      <x:c r="C14" s="16" t="str">
        <x:v>三种条件结果总览</x:v>
      </x:c>
      <x:c r="D14" s="16" t="str">
        <x:v>三种条件结果总览</x:v>
      </x:c>
      <x:c r="E14" s="16" t="str">
        <x:v>三种条件结果总览</x:v>
      </x:c>
      <x:c r="F14" s="16" t="str">
        <x:v>三种条件结果总览</x:v>
      </x:c>
      <x:c r="G14" s="16" t="str">
        <x:v>三种条件结果总览</x:v>
      </x:c>
      <x:c r="H14" s="16" t="str">
        <x:v>三种条件结果总览</x:v>
      </x:c>
    </x:row>
    <x:row r="15">
      <x:c r="A15" s="7" t="str">
        <x:v>条件</x:v>
      </x:c>
      <x:c r="B15" s="7" t="str">
        <x:v>计划数</x:v>
      </x:c>
      <x:c r="C15" s="7" t="str">
        <x:v>完成数</x:v>
      </x:c>
      <x:c r="D15" s="7" t="str">
        <x:v>通过数</x:v>
      </x:c>
      <x:c r="E15" s="7" t="str">
        <x:v>通过率</x:v>
      </x:c>
      <x:c r="F15" s="7" t="str">
        <x:v>请求数</x:v>
      </x:c>
      <x:c r="G15" s="7" t="str">
        <x:v>输入+输出Token</x:v>
      </x:c>
      <x:c r="H15" s="7" t="str">
        <x:v>记录费用</x:v>
      </x:c>
    </x:row>
    <x:row r="16">
      <x:c r="A16" s="17" t="str">
        <x:v>noskill</x:v>
      </x:c>
      <x:c r="B16" s="17" t="n">
        <x:f>'Token与成本'!B18</x:f>
        <x:v>3</x:v>
      </x:c>
      <x:c r="C16" s="17" t="n">
        <x:f>'Token与成本'!C18</x:f>
        <x:v>0</x:v>
      </x:c>
      <x:c r="D16" s="17" t="n">
        <x:f>'Token与成本'!D18</x:f>
        <x:v>0</x:v>
      </x:c>
      <x:c r="E16" s="18" t="n">
        <x:f>'Token与成本'!E18</x:f>
        <x:v>0</x:v>
      </x:c>
      <x:c r="F16" s="19" t="n">
        <x:f>'Token与成本'!F18+0</x:f>
        <x:v>0</x:v>
      </x:c>
      <x:c r="G16" s="19" t="n">
        <x:f>'Token与成本'!H18+'Token与成本'!I18</x:f>
        <x:v>0</x:v>
      </x:c>
      <x:c r="H16" s="20" t="n">
        <x:f>'Token与成本'!K18</x:f>
        <x:v>0</x:v>
      </x:c>
    </x:row>
    <x:row r="17">
      <x:c r="A17" s="17" t="str">
        <x:v>native</x:v>
      </x:c>
      <x:c r="B17" s="17" t="n">
        <x:f>'Token与成本'!B19</x:f>
        <x:v>3</x:v>
      </x:c>
      <x:c r="C17" s="17" t="n">
        <x:f>'Token与成本'!C19</x:f>
        <x:v>0</x:v>
      </x:c>
      <x:c r="D17" s="17" t="n">
        <x:f>'Token与成本'!D19</x:f>
        <x:v>0</x:v>
      </x:c>
      <x:c r="E17" s="18" t="n">
        <x:f>'Token与成本'!E19</x:f>
        <x:v>0</x:v>
      </x:c>
      <x:c r="F17" s="19" t="n">
        <x:f>'Token与成本'!F19+0</x:f>
        <x:v>0</x:v>
      </x:c>
      <x:c r="G17" s="19" t="n">
        <x:f>'Token与成本'!H19+'Token与成本'!I19</x:f>
        <x:v>0</x:v>
      </x:c>
      <x:c r="H17" s="20" t="n">
        <x:f>'Token与成本'!K19</x:f>
        <x:v>0</x:v>
      </x:c>
    </x:row>
    <x:row r="18">
      <x:c r="A18" s="17" t="str">
        <x:v>pd-vista</x:v>
      </x:c>
      <x:c r="B18" s="17" t="n">
        <x:f>'Token与成本'!B20</x:f>
        <x:v>3</x:v>
      </x:c>
      <x:c r="C18" s="17" t="n">
        <x:f>'Token与成本'!C20</x:f>
        <x:v>0</x:v>
      </x:c>
      <x:c r="D18" s="17" t="n">
        <x:f>'Token与成本'!D20</x:f>
        <x:v>0</x:v>
      </x:c>
      <x:c r="E18" s="18" t="n">
        <x:f>'Token与成本'!E20</x:f>
        <x:v>0</x:v>
      </x:c>
      <x:c r="F18" s="19" t="n">
        <x:f>'Token与成本'!F20+0</x:f>
        <x:v>0</x:v>
      </x:c>
      <x:c r="G18" s="19" t="n">
        <x:f>'Token与成本'!H20+'Token与成本'!I20</x:f>
        <x:v>0</x:v>
      </x:c>
      <x:c r="H18" s="20" t="n">
        <x:f>'Token与成本'!K20</x:f>
        <x:v>0</x:v>
      </x:c>
    </x:row>
    <x:row r="21" ht="22" customHeight="1">
      <x:c r="A21" s="16" t="str">
        <x:v>关键完整性检查</x:v>
      </x:c>
      <x:c r="B21" s="16" t="str">
        <x:v>关键完整性检查</x:v>
      </x:c>
      <x:c r="C21" s="16" t="str">
        <x:v>关键完整性检查</x:v>
      </x:c>
      <x:c r="D21" s="16" t="str">
        <x:v>关键完整性检查</x:v>
      </x:c>
      <x:c r="E21" s="16" t="str">
        <x:v>关键完整性检查</x:v>
      </x:c>
      <x:c r="F21" s="16" t="str">
        <x:v>关键完整性检查</x:v>
      </x:c>
      <x:c r="G21" s="16" t="str">
        <x:v>关键完整性检查</x:v>
      </x:c>
      <x:c r="H21" s="16" t="str">
        <x:v>关键完整性检查</x:v>
      </x:c>
    </x:row>
    <x:row r="22">
      <x:c r="A22" s="7" t="str">
        <x:v>检查项</x:v>
      </x:c>
      <x:c r="B22" s="7" t="str">
        <x:v>结果</x:v>
      </x:c>
    </x:row>
    <x:row r="23">
      <x:c r="A23" s="22" t="str">
        <x:v>9 个正式结果文件</x:v>
      </x:c>
      <x:c r="B23" s="12" t="str">
        <x:f>IF(B7=9,"通过","未执行")</x:f>
        <x:v>未执行</x:v>
      </x:c>
    </x:row>
    <x:row r="24">
      <x:c r="A24" s="22" t="str">
        <x:v>9 个唯一 session</x:v>
      </x:c>
      <x:c r="B24" s="12" t="str">
        <x:f>IF(B8=9,"通过","未创建")</x:f>
        <x:v>未创建</x:v>
      </x:c>
    </x:row>
    <x:row r="25">
      <x:c r="A25" s="22" t="str">
        <x:v>最终 Verifier 全部通过</x:v>
      </x:c>
      <x:c r="B25" s="12" t="str">
        <x:f>IF(B9=9,"通过","未执行")</x:f>
        <x:v>未执行</x:v>
      </x:c>
    </x:row>
    <x:row r="26">
      <x:c r="A26" s="22" t="str">
        <x:v>当前模型配置已读取</x:v>
      </x:c>
      <x:c r="B26" s="26" t="str">
        <x:f>IF(B10&lt;&gt;"","已读取","缺失")</x:f>
        <x:v>已读取</x:v>
      </x:c>
    </x:row>
    <x:row r="27">
      <x:c r="A27" s="22" t="str">
        <x:v>使用 Docker</x:v>
      </x:c>
      <x:c r="B27" s="26" t="str">
        <x:f>IF(FALSE,"是","否")</x:f>
        <x:v>否</x:v>
      </x:c>
    </x:row>
    <x:row r="28">
      <x:c r="A28" s="22" t="str">
        <x:v>使用 SkillBench 标准执行路线</x:v>
      </x:c>
      <x:c r="B28" s="26" t="str">
        <x:f>IF(FALSE,"是","否")</x:f>
        <x:v>否</x:v>
      </x:c>
    </x:row>
    <x:row r="29">
      <x:c r="A29" s="22" t="str">
        <x:v>正式统计是否启动</x:v>
      </x:c>
      <x:c r="B29" s="11" t="str">
        <x:f>IF(B7&gt;0,"已启动","未启动")</x:f>
        <x:v>未启动</x:v>
      </x:c>
    </x:row>
    <x:row r="32" ht="22" customHeight="1">
      <x:c r="A32" s="16" t="str">
        <x:v>Readiness 阻断证据</x:v>
      </x:c>
      <x:c r="B32" s="16" t="str">
        <x:v>Readiness 阻断证据</x:v>
      </x:c>
      <x:c r="C32" s="16" t="str">
        <x:v>Readiness 阻断证据</x:v>
      </x:c>
      <x:c r="D32" s="16" t="str">
        <x:v>Readiness 阻断证据</x:v>
      </x:c>
      <x:c r="E32" s="16" t="str">
        <x:v>Readiness 阻断证据</x:v>
      </x:c>
      <x:c r="F32" s="16" t="str">
        <x:v>Readiness 阻断证据</x:v>
      </x:c>
      <x:c r="G32" s="16" t="str">
        <x:v>Readiness 阻断证据</x:v>
      </x:c>
      <x:c r="H32" s="16" t="str">
        <x:v>Readiness 阻断证据</x:v>
      </x:c>
    </x:row>
    <x:row r="33">
      <x:c r="A33" s="28" t="str">
        <x:v>Task 材料</x:v>
      </x:c>
      <x:c r="B33" s="10" t="str">
        <x:v>task-006 身份、task.md、4 个原始模块和 PD-VISTA 资产存在；environment 仅含 Dockerfile 与 Skill 文件。</x:v>
      </x:c>
      <x:c r="C33" s="10"/>
      <x:c r="D33" s="10"/>
      <x:c r="E33" s="10"/>
      <x:c r="F33" s="10"/>
      <x:c r="G33" s="10"/>
      <x:c r="H33" s="10"/>
    </x:row>
    <x:row r="34">
      <x:c r="A34" s="28" t="str">
        <x:v>缺失内容</x:v>
      </x:c>
      <x:c r="B34" s="10" t="str">
        <x:v>原始失败 AgentOps 代码库不存在；/home/github/build/failed/AgentOps-AI/agentops 不存在。</x:v>
      </x:c>
      <x:c r="C34" s="10"/>
      <x:c r="D34" s="10"/>
      <x:c r="E34" s="10"/>
      <x:c r="F34" s="10"/>
      <x:c r="G34" s="10"/>
      <x:c r="H34" s="10"/>
    </x:row>
    <x:row r="35">
      <x:c r="A35" s="28" t="str">
        <x:v>Verifier</x:v>
      </x:c>
      <x:c r="B35" s="10" t="str">
        <x:v>公开收集已通过 3 tests collected；完整运行依赖缺失的 BugSwarm /home/github 构建环境，不能忠实执行。</x:v>
      </x:c>
      <x:c r="C35" s="10"/>
      <x:c r="D35" s="10"/>
      <x:c r="E35" s="10"/>
      <x:c r="F35" s="10"/>
      <x:c r="G35" s="10"/>
      <x:c r="H35" s="10"/>
    </x:row>
    <x:row r="36">
      <x:c r="A36" s="28" t="str">
        <x:v>路线约束</x:v>
      </x:c>
      <x:c r="B36" s="10" t="str">
        <x:v>未调用 Docker、SkillBench/BenchFlow 或平台路线；未启动 OpenCode 模型请求。</x:v>
      </x:c>
      <x:c r="C36" s="10"/>
      <x:c r="D36" s="10"/>
      <x:c r="E36" s="10"/>
      <x:c r="F36" s="10"/>
      <x:c r="G36" s="10"/>
      <x:c r="H36" s="10"/>
    </x:row>
  </x:sheetData>
  <x:mergeCells>
    <x:mergeCell ref="A1:H1"/>
    <x:mergeCell ref="A14:H14"/>
    <x:mergeCell ref="A21:H21"/>
    <x:mergeCell ref="A32:H32"/>
    <x:mergeCell ref="B33:H33"/>
    <x:mergeCell ref="B34:H34"/>
    <x:mergeCell ref="B35:H35"/>
    <x:mergeCell ref="B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8" hidden="0" customWidth="1"/>
    <x:col min="4" max="4" width="10" hidden="0" customWidth="1"/>
    <x:col min="5" max="5" width="46" hidden="0" customWidth="1"/>
    <x:col min="6" max="6" width="14" hidden="0" customWidth="1"/>
    <x:col min="7" max="7" width="28" hidden="0" customWidth="1"/>
    <x:col min="8" max="8" width="10" hidden="0" customWidth="1"/>
    <x:col min="9" max="9" width="10" hidden="0" customWidth="1"/>
    <x:col min="10" max="10" width="8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4" hidden="0" customWidth="1"/>
    <x:col min="16" max="16" width="12" hidden="0" customWidth="1"/>
    <x:col min="17" max="17" width="14" hidden="0" customWidth="1"/>
    <x:col min="18" max="18" width="20" hidden="0" customWidth="1"/>
    <x:col min="19" max="19" width="24" hidden="0" customWidth="1"/>
    <x:col min="20" max="20" width="74" hidden="0" customWidth="1"/>
  </x:cols>
  <x:sheetData>
    <x:row r="1" ht="28" customHeight="1">
      <x:c r="A1" s="3" t="str">
        <x:v>task6 · 9组计划明细（正式实验未启动 · formal-task006-local-3x3-minimaxm3-20260824-03-readiness-final）</x:v>
      </x:c>
      <x:c r="B1" s="3" t="str">
        <x:v>task6 · 9组计划明细（正式实验未启动 · formal-task006-local-3x3-minimaxm3-20260824-03-readiness-final）</x:v>
      </x:c>
      <x:c r="C1" s="3" t="str">
        <x:v>task6 · 9组计划明细（正式实验未启动 · formal-task006-local-3x3-minimaxm3-20260824-03-readiness-final）</x:v>
      </x:c>
      <x:c r="D1" s="3" t="str">
        <x:v>task6 · 9组计划明细（正式实验未启动 · formal-task006-local-3x3-minimaxm3-20260824-03-readiness-final）</x:v>
      </x:c>
      <x:c r="E1" s="3" t="str">
        <x:v>task6 · 9组计划明细（正式实验未启动 · formal-task006-local-3x3-minimaxm3-20260824-03-readiness-final）</x:v>
      </x:c>
      <x:c r="F1" s="3" t="str">
        <x:v>task6 · 9组计划明细（正式实验未启动 · formal-task006-local-3x3-minimaxm3-20260824-03-readiness-final）</x:v>
      </x:c>
      <x:c r="G1" s="3" t="str">
        <x:v>task6 · 9组计划明细（正式实验未启动 · formal-task006-local-3x3-minimaxm3-20260824-03-readiness-final）</x:v>
      </x:c>
      <x:c r="H1" s="3" t="str">
        <x:v>task6 · 9组计划明细（正式实验未启动 · formal-task006-local-3x3-minimaxm3-20260824-03-readiness-final）</x:v>
      </x:c>
      <x:c r="I1" s="3" t="str">
        <x:v>task6 · 9组计划明细（正式实验未启动 · formal-task006-local-3x3-minimaxm3-20260824-03-readiness-final）</x:v>
      </x:c>
      <x:c r="J1" s="3" t="str">
        <x:v>task6 · 9组计划明细（正式实验未启动 · formal-task006-local-3x3-minimaxm3-20260824-03-readiness-final）</x:v>
      </x:c>
      <x:c r="K1" s="3" t="str">
        <x:v>task6 · 9组计划明细（正式实验未启动 · formal-task006-local-3x3-minimaxm3-20260824-03-readiness-final）</x:v>
      </x:c>
      <x:c r="L1" s="3" t="str">
        <x:v>task6 · 9组计划明细（正式实验未启动 · formal-task006-local-3x3-minimaxm3-20260824-03-readiness-final）</x:v>
      </x:c>
      <x:c r="M1" s="3" t="str">
        <x:v>task6 · 9组计划明细（正式实验未启动 · formal-task006-local-3x3-minimaxm3-20260824-03-readiness-final）</x:v>
      </x:c>
      <x:c r="N1" s="3" t="str">
        <x:v>task6 · 9组计划明细（正式实验未启动 · formal-task006-local-3x3-minimaxm3-20260824-03-readiness-final）</x:v>
      </x:c>
      <x:c r="O1" s="3" t="str">
        <x:v>task6 · 9组计划明细（正式实验未启动 · formal-task006-local-3x3-minimaxm3-20260824-03-readiness-final）</x:v>
      </x:c>
      <x:c r="P1" s="3" t="str">
        <x:v>task6 · 9组计划明细（正式实验未启动 · formal-task006-local-3x3-minimaxm3-20260824-03-readiness-final）</x:v>
      </x:c>
      <x:c r="Q1" s="3" t="str">
        <x:v>task6 · 9组计划明细（正式实验未启动 · formal-task006-local-3x3-minimaxm3-20260824-03-readiness-final）</x:v>
      </x:c>
      <x:c r="R1" s="3" t="str">
        <x:v>task6 · 9组计划明细（正式实验未启动 · formal-task006-local-3x3-minimaxm3-20260824-03-readiness-final）</x:v>
      </x:c>
      <x:c r="S1" s="3" t="str">
        <x:v>task6 · 9组计划明细（正式实验未启动 · formal-task006-local-3x3-minimaxm3-20260824-03-readiness-final）</x:v>
      </x:c>
      <x:c r="T1" s="3" t="str">
        <x:v>task6 · 9组计划明细（正式实验未启动 · formal-task006-local-3x3-minimaxm3-20260824-03-readiness-final）</x:v>
      </x:c>
    </x:row>
    <x:row r="3">
      <x:c r="A3" s="7" t="str">
        <x:v>序号</x:v>
      </x:c>
      <x:c r="B3" s="7" t="str">
        <x:v>条件</x:v>
      </x:c>
      <x:c r="C3" s="7" t="str">
        <x:v>重复</x:v>
      </x:c>
      <x:c r="D3" s="7" t="str">
        <x:v>平衡顺序</x:v>
      </x:c>
      <x:c r="E3" s="7" t="str">
        <x:v>状态</x:v>
      </x:c>
      <x:c r="F3" s="7" t="str">
        <x:v>最终Verifier</x:v>
      </x:c>
      <x:c r="G3" s="7" t="str">
        <x:v>Session ID</x:v>
      </x:c>
      <x:c r="H3" s="7" t="str">
        <x:v>请求数</x:v>
      </x:c>
      <x:c r="I3" s="7" t="str">
        <x:v>工具调用</x:v>
      </x:c>
      <x:c r="J3" s="7" t="str">
        <x:v>轮次</x:v>
      </x:c>
      <x:c r="K3" s="7" t="str">
        <x:v>输入Token</x:v>
      </x:c>
      <x:c r="L3" s="7" t="str">
        <x:v>输出Token</x:v>
      </x:c>
      <x:c r="M3" s="7" t="str">
        <x:v>缓存读取Token</x:v>
      </x:c>
      <x:c r="N3" s="7" t="str">
        <x:v>输入+输出Token</x:v>
      </x:c>
      <x:c r="O3" s="7" t="str">
        <x:v>记录费用</x:v>
      </x:c>
      <x:c r="P3" s="7" t="str">
        <x:v>超时次数</x:v>
      </x:c>
      <x:c r="Q3" s="7" t="str">
        <x:v>PD触发机会</x:v>
      </x:c>
      <x:c r="R3" s="7" t="str">
        <x:v>披露模块</x:v>
      </x:c>
      <x:c r="S3" s="7" t="str">
        <x:v>下一轮实际访问</x:v>
      </x:c>
      <x:c r="T3" s="7" t="str">
        <x:v>证据/原因</x:v>
      </x:c>
    </x:row>
    <x:row r="4">
      <x:c r="A4" s="10" t="str">
        <x:v>noskill-01</x:v>
      </x:c>
      <x:c r="B4" s="10" t="str">
        <x:v>noskill</x:v>
      </x:c>
      <x:c r="C4" s="10" t="n">
        <x:v>1</x:v>
      </x:c>
      <x:c r="D4" s="10" t="n">
        <x:v>1</x:v>
      </x:c>
      <x:c r="E4" s="11" t="str">
        <x:v>未执行：task-006 缺失 BugSwarm 失败仓库与 /home/github 构建环境</x:v>
      </x:c>
      <x:c r="F4" s="12" t="str">
        <x:v>未执行</x:v>
      </x:c>
      <x:c r="G4" s="10"/>
      <x:c r="H4" s="13" t="n">
        <x:v>0</x:v>
      </x:c>
      <x:c r="I4" s="13" t="n">
        <x:v>0</x:v>
      </x:c>
      <x:c r="J4" s="13" t="n">
        <x:v>0</x:v>
      </x:c>
      <x:c r="K4" s="13" t="n">
        <x:v>0</x:v>
      </x:c>
      <x:c r="L4" s="13" t="n">
        <x:v>0</x:v>
      </x:c>
      <x:c r="M4" s="13" t="n">
        <x:v>0</x:v>
      </x:c>
      <x:c r="N4" s="13" t="n">
        <x:f>K4+L4</x:f>
        <x:v>0</x:v>
      </x:c>
      <x:c r="O4" s="14" t="n">
        <x:v>0</x:v>
      </x:c>
      <x:c r="P4" s="13" t="n">
        <x:v>0</x:v>
      </x:c>
      <x:c r="Q4" s="10" t="n">
        <x:v>0</x:v>
      </x:c>
      <x:c r="R4" s="10" t="str">
        <x:v>未触发</x:v>
      </x:c>
      <x:c r="S4" s="10" t="str">
        <x:v>未触发</x:v>
      </x:c>
      <x:c r="T4" s="10" t="str">
        <x:v>/Users/wangjinhua/Downloads/vista-travel-macos-handoff-20260819-192318/data/raw/formal-task006-local-3x3-minimaxm3-20260824-03-readiness-final/readiness.json；未执行：task-006 缺失 BugSwarm 失败仓库与 /home/github 构建环境</x:v>
      </x:c>
    </x:row>
    <x:row r="5">
      <x:c r="A5" s="10" t="str">
        <x:v>native-01</x:v>
      </x:c>
      <x:c r="B5" s="10" t="str">
        <x:v>native</x:v>
      </x:c>
      <x:c r="C5" s="10" t="n">
        <x:v>1</x:v>
      </x:c>
      <x:c r="D5" s="10" t="n">
        <x:v>2</x:v>
      </x:c>
      <x:c r="E5" s="11" t="str">
        <x:v>未执行：task-006 缺失 BugSwarm 失败仓库与 /home/github 构建环境</x:v>
      </x:c>
      <x:c r="F5" s="12" t="str">
        <x:v>未执行</x:v>
      </x:c>
      <x:c r="G5" s="10"/>
      <x:c r="H5" s="13" t="n">
        <x:v>0</x:v>
      </x:c>
      <x:c r="I5" s="13" t="n">
        <x:v>0</x:v>
      </x:c>
      <x:c r="J5" s="13" t="n">
        <x:v>0</x:v>
      </x:c>
      <x:c r="K5" s="13" t="n">
        <x:v>0</x:v>
      </x:c>
      <x:c r="L5" s="13" t="n">
        <x:v>0</x:v>
      </x:c>
      <x:c r="M5" s="13" t="n">
        <x:v>0</x:v>
      </x:c>
      <x:c r="N5" s="13" t="n">
        <x:f>K5+L5</x:f>
        <x:v>0</x:v>
      </x:c>
      <x:c r="O5" s="14" t="n">
        <x:v>0</x:v>
      </x:c>
      <x:c r="P5" s="13" t="n">
        <x:v>0</x:v>
      </x:c>
      <x:c r="Q5" s="10" t="n">
        <x:v>0</x:v>
      </x:c>
      <x:c r="R5" s="10" t="str">
        <x:v>未触发</x:v>
      </x:c>
      <x:c r="S5" s="10" t="str">
        <x:v>未触发</x:v>
      </x:c>
      <x:c r="T5" s="10" t="str">
        <x:v>/Users/wangjinhua/Downloads/vista-travel-macos-handoff-20260819-192318/data/raw/formal-task006-local-3x3-minimaxm3-20260824-03-readiness-final/readiness.json；未执行：task-006 缺失 BugSwarm 失败仓库与 /home/github 构建环境</x:v>
      </x:c>
    </x:row>
    <x:row r="6">
      <x:c r="A6" s="10" t="str">
        <x:v>pd-vista-01</x:v>
      </x:c>
      <x:c r="B6" s="10" t="str">
        <x:v>pd-vista</x:v>
      </x:c>
      <x:c r="C6" s="10" t="n">
        <x:v>1</x:v>
      </x:c>
      <x:c r="D6" s="10" t="n">
        <x:v>3</x:v>
      </x:c>
      <x:c r="E6" s="11" t="str">
        <x:v>未执行：task-006 缺失 BugSwarm 失败仓库与 /home/github 构建环境</x:v>
      </x:c>
      <x:c r="F6" s="12" t="str">
        <x:v>未执行</x:v>
      </x:c>
      <x:c r="G6" s="10"/>
      <x:c r="H6" s="13" t="n">
        <x:v>0</x:v>
      </x:c>
      <x:c r="I6" s="13" t="n">
        <x:v>0</x:v>
      </x:c>
      <x:c r="J6" s="13" t="n">
        <x:v>0</x:v>
      </x:c>
      <x:c r="K6" s="13" t="n">
        <x:v>0</x:v>
      </x:c>
      <x:c r="L6" s="13" t="n">
        <x:v>0</x:v>
      </x:c>
      <x:c r="M6" s="13" t="n">
        <x:v>0</x:v>
      </x:c>
      <x:c r="N6" s="13" t="n">
        <x:f>K6+L6</x:f>
        <x:v>0</x:v>
      </x:c>
      <x:c r="O6" s="14" t="n">
        <x:v>0</x:v>
      </x:c>
      <x:c r="P6" s="13" t="n">
        <x:v>0</x:v>
      </x:c>
      <x:c r="Q6" s="10" t="n">
        <x:v>0</x:v>
      </x:c>
      <x:c r="R6" s="10" t="str">
        <x:v>未触发</x:v>
      </x:c>
      <x:c r="S6" s="10" t="str">
        <x:v>未触发</x:v>
      </x:c>
      <x:c r="T6" s="10" t="str">
        <x:v>/Users/wangjinhua/Downloads/vista-travel-macos-handoff-20260819-192318/data/raw/formal-task006-local-3x3-minimaxm3-20260824-03-readiness-final/readiness.json；未执行：task-006 缺失 BugSwarm 失败仓库与 /home/github 构建环境</x:v>
      </x:c>
    </x:row>
    <x:row r="7">
      <x:c r="A7" s="10" t="str">
        <x:v>native-02</x:v>
      </x:c>
      <x:c r="B7" s="10" t="str">
        <x:v>native</x:v>
      </x:c>
      <x:c r="C7" s="10" t="n">
        <x:v>2</x:v>
      </x:c>
      <x:c r="D7" s="10" t="n">
        <x:v>4</x:v>
      </x:c>
      <x:c r="E7" s="11" t="str">
        <x:v>未执行：task-006 缺失 BugSwarm 失败仓库与 /home/github 构建环境</x:v>
      </x:c>
      <x:c r="F7" s="12" t="str">
        <x:v>未执行</x:v>
      </x:c>
      <x:c r="G7" s="10"/>
      <x:c r="H7" s="13" t="n">
        <x:v>0</x:v>
      </x:c>
      <x:c r="I7" s="13" t="n">
        <x:v>0</x:v>
      </x:c>
      <x:c r="J7" s="13" t="n">
        <x:v>0</x:v>
      </x:c>
      <x:c r="K7" s="13" t="n">
        <x:v>0</x:v>
      </x:c>
      <x:c r="L7" s="13" t="n">
        <x:v>0</x:v>
      </x:c>
      <x:c r="M7" s="13" t="n">
        <x:v>0</x:v>
      </x:c>
      <x:c r="N7" s="13" t="n">
        <x:f>K7+L7</x:f>
        <x:v>0</x:v>
      </x:c>
      <x:c r="O7" s="14" t="n">
        <x:v>0</x:v>
      </x:c>
      <x:c r="P7" s="13" t="n">
        <x:v>0</x:v>
      </x:c>
      <x:c r="Q7" s="10" t="n">
        <x:v>0</x:v>
      </x:c>
      <x:c r="R7" s="10" t="str">
        <x:v>未触发</x:v>
      </x:c>
      <x:c r="S7" s="10" t="str">
        <x:v>未触发</x:v>
      </x:c>
      <x:c r="T7" s="10" t="str">
        <x:v>/Users/wangjinhua/Downloads/vista-travel-macos-handoff-20260819-192318/data/raw/formal-task006-local-3x3-minimaxm3-20260824-03-readiness-final/readiness.json；未执行：task-006 缺失 BugSwarm 失败仓库与 /home/github 构建环境</x:v>
      </x:c>
    </x:row>
    <x:row r="8">
      <x:c r="A8" s="10" t="str">
        <x:v>pd-vista-02</x:v>
      </x:c>
      <x:c r="B8" s="10" t="str">
        <x:v>pd-vista</x:v>
      </x:c>
      <x:c r="C8" s="10" t="n">
        <x:v>2</x:v>
      </x:c>
      <x:c r="D8" s="10" t="n">
        <x:v>5</x:v>
      </x:c>
      <x:c r="E8" s="11" t="str">
        <x:v>未执行：task-006 缺失 BugSwarm 失败仓库与 /home/github 构建环境</x:v>
      </x:c>
      <x:c r="F8" s="12" t="str">
        <x:v>未执行</x:v>
      </x:c>
      <x:c r="G8" s="10"/>
      <x:c r="H8" s="13" t="n">
        <x:v>0</x:v>
      </x:c>
      <x:c r="I8" s="13" t="n">
        <x:v>0</x:v>
      </x:c>
      <x:c r="J8" s="13" t="n">
        <x:v>0</x:v>
      </x:c>
      <x:c r="K8" s="13" t="n">
        <x:v>0</x:v>
      </x:c>
      <x:c r="L8" s="13" t="n">
        <x:v>0</x:v>
      </x:c>
      <x:c r="M8" s="13" t="n">
        <x:v>0</x:v>
      </x:c>
      <x:c r="N8" s="13" t="n">
        <x:f>K8+L8</x:f>
        <x:v>0</x:v>
      </x:c>
      <x:c r="O8" s="14" t="n">
        <x:v>0</x:v>
      </x:c>
      <x:c r="P8" s="13" t="n">
        <x:v>0</x:v>
      </x:c>
      <x:c r="Q8" s="10" t="n">
        <x:v>0</x:v>
      </x:c>
      <x:c r="R8" s="10" t="str">
        <x:v>未触发</x:v>
      </x:c>
      <x:c r="S8" s="10" t="str">
        <x:v>未触发</x:v>
      </x:c>
      <x:c r="T8" s="10" t="str">
        <x:v>/Users/wangjinhua/Downloads/vista-travel-macos-handoff-20260819-192318/data/raw/formal-task006-local-3x3-minimaxm3-20260824-03-readiness-final/readiness.json；未执行：task-006 缺失 BugSwarm 失败仓库与 /home/github 构建环境</x:v>
      </x:c>
    </x:row>
    <x:row r="9">
      <x:c r="A9" s="10" t="str">
        <x:v>noskill-02</x:v>
      </x:c>
      <x:c r="B9" s="10" t="str">
        <x:v>noskill</x:v>
      </x:c>
      <x:c r="C9" s="10" t="n">
        <x:v>2</x:v>
      </x:c>
      <x:c r="D9" s="10" t="n">
        <x:v>6</x:v>
      </x:c>
      <x:c r="E9" s="11" t="str">
        <x:v>未执行：task-006 缺失 BugSwarm 失败仓库与 /home/github 构建环境</x:v>
      </x:c>
      <x:c r="F9" s="12" t="str">
        <x:v>未执行</x:v>
      </x:c>
      <x:c r="G9" s="10"/>
      <x:c r="H9" s="13" t="n">
        <x:v>0</x:v>
      </x:c>
      <x:c r="I9" s="13" t="n">
        <x:v>0</x:v>
      </x:c>
      <x:c r="J9" s="13" t="n">
        <x:v>0</x:v>
      </x:c>
      <x:c r="K9" s="13" t="n">
        <x:v>0</x:v>
      </x:c>
      <x:c r="L9" s="13" t="n">
        <x:v>0</x:v>
      </x:c>
      <x:c r="M9" s="13" t="n">
        <x:v>0</x:v>
      </x:c>
      <x:c r="N9" s="13" t="n">
        <x:f>K9+L9</x:f>
        <x:v>0</x:v>
      </x:c>
      <x:c r="O9" s="14" t="n">
        <x:v>0</x:v>
      </x:c>
      <x:c r="P9" s="13" t="n">
        <x:v>0</x:v>
      </x:c>
      <x:c r="Q9" s="10" t="n">
        <x:v>0</x:v>
      </x:c>
      <x:c r="R9" s="10" t="str">
        <x:v>未触发</x:v>
      </x:c>
      <x:c r="S9" s="10" t="str">
        <x:v>未触发</x:v>
      </x:c>
      <x:c r="T9" s="10" t="str">
        <x:v>/Users/wangjinhua/Downloads/vista-travel-macos-handoff-20260819-192318/data/raw/formal-task006-local-3x3-minimaxm3-20260824-03-readiness-final/readiness.json；未执行：task-006 缺失 BugSwarm 失败仓库与 /home/github 构建环境</x:v>
      </x:c>
    </x:row>
    <x:row r="10">
      <x:c r="A10" s="10" t="str">
        <x:v>pd-vista-03</x:v>
      </x:c>
      <x:c r="B10" s="10" t="str">
        <x:v>pd-vista</x:v>
      </x:c>
      <x:c r="C10" s="10" t="n">
        <x:v>3</x:v>
      </x:c>
      <x:c r="D10" s="10" t="n">
        <x:v>7</x:v>
      </x:c>
      <x:c r="E10" s="11" t="str">
        <x:v>未执行：task-006 缺失 BugSwarm 失败仓库与 /home/github 构建环境</x:v>
      </x:c>
      <x:c r="F10" s="12" t="str">
        <x:v>未执行</x:v>
      </x:c>
      <x:c r="G10" s="10"/>
      <x:c r="H10" s="13" t="n">
        <x:v>0</x:v>
      </x:c>
      <x:c r="I10" s="13" t="n">
        <x:v>0</x:v>
      </x:c>
      <x:c r="J10" s="13" t="n">
        <x:v>0</x:v>
      </x:c>
      <x:c r="K10" s="13" t="n">
        <x:v>0</x:v>
      </x:c>
      <x:c r="L10" s="13" t="n">
        <x:v>0</x:v>
      </x:c>
      <x:c r="M10" s="13" t="n">
        <x:v>0</x:v>
      </x:c>
      <x:c r="N10" s="13" t="n">
        <x:f>K10+L10</x:f>
        <x:v>0</x:v>
      </x:c>
      <x:c r="O10" s="14" t="n">
        <x:v>0</x:v>
      </x:c>
      <x:c r="P10" s="13" t="n">
        <x:v>0</x:v>
      </x:c>
      <x:c r="Q10" s="10" t="n">
        <x:v>0</x:v>
      </x:c>
      <x:c r="R10" s="10" t="str">
        <x:v>未触发</x:v>
      </x:c>
      <x:c r="S10" s="10" t="str">
        <x:v>未触发</x:v>
      </x:c>
      <x:c r="T10" s="10" t="str">
        <x:v>/Users/wangjinhua/Downloads/vista-travel-macos-handoff-20260819-192318/data/raw/formal-task006-local-3x3-minimaxm3-20260824-03-readiness-final/readiness.json；未执行：task-006 缺失 BugSwarm 失败仓库与 /home/github 构建环境</x:v>
      </x:c>
    </x:row>
    <x:row r="11">
      <x:c r="A11" s="10" t="str">
        <x:v>noskill-03</x:v>
      </x:c>
      <x:c r="B11" s="10" t="str">
        <x:v>noskill</x:v>
      </x:c>
      <x:c r="C11" s="10" t="n">
        <x:v>3</x:v>
      </x:c>
      <x:c r="D11" s="10" t="n">
        <x:v>8</x:v>
      </x:c>
      <x:c r="E11" s="11" t="str">
        <x:v>未执行：task-006 缺失 BugSwarm 失败仓库与 /home/github 构建环境</x:v>
      </x:c>
      <x:c r="F11" s="12" t="str">
        <x:v>未执行</x:v>
      </x:c>
      <x:c r="G11" s="10"/>
      <x:c r="H11" s="13" t="n">
        <x:v>0</x:v>
      </x:c>
      <x:c r="I11" s="13" t="n">
        <x:v>0</x:v>
      </x:c>
      <x:c r="J11" s="13" t="n">
        <x:v>0</x:v>
      </x:c>
      <x:c r="K11" s="13" t="n">
        <x:v>0</x:v>
      </x:c>
      <x:c r="L11" s="13" t="n">
        <x:v>0</x:v>
      </x:c>
      <x:c r="M11" s="13" t="n">
        <x:v>0</x:v>
      </x:c>
      <x:c r="N11" s="13" t="n">
        <x:f>K11+L11</x:f>
        <x:v>0</x:v>
      </x:c>
      <x:c r="O11" s="14" t="n">
        <x:v>0</x:v>
      </x:c>
      <x:c r="P11" s="13" t="n">
        <x:v>0</x:v>
      </x:c>
      <x:c r="Q11" s="10" t="n">
        <x:v>0</x:v>
      </x:c>
      <x:c r="R11" s="10" t="str">
        <x:v>未触发</x:v>
      </x:c>
      <x:c r="S11" s="10" t="str">
        <x:v>未触发</x:v>
      </x:c>
      <x:c r="T11" s="10" t="str">
        <x:v>/Users/wangjinhua/Downloads/vista-travel-macos-handoff-20260819-192318/data/raw/formal-task006-local-3x3-minimaxm3-20260824-03-readiness-final/readiness.json；未执行：task-006 缺失 BugSwarm 失败仓库与 /home/github 构建环境</x:v>
      </x:c>
    </x:row>
    <x:row r="12">
      <x:c r="A12" s="10" t="str">
        <x:v>native-03</x:v>
      </x:c>
      <x:c r="B12" s="10" t="str">
        <x:v>native</x:v>
      </x:c>
      <x:c r="C12" s="10" t="n">
        <x:v>3</x:v>
      </x:c>
      <x:c r="D12" s="10" t="n">
        <x:v>9</x:v>
      </x:c>
      <x:c r="E12" s="11" t="str">
        <x:v>未执行：task-006 缺失 BugSwarm 失败仓库与 /home/github 构建环境</x:v>
      </x:c>
      <x:c r="F12" s="12" t="str">
        <x:v>未执行</x:v>
      </x:c>
      <x:c r="G12" s="10"/>
      <x:c r="H12" s="13" t="n">
        <x:v>0</x:v>
      </x:c>
      <x:c r="I12" s="13" t="n">
        <x:v>0</x:v>
      </x:c>
      <x:c r="J12" s="13" t="n">
        <x:v>0</x:v>
      </x:c>
      <x:c r="K12" s="13" t="n">
        <x:v>0</x:v>
      </x:c>
      <x:c r="L12" s="13" t="n">
        <x:v>0</x:v>
      </x:c>
      <x:c r="M12" s="13" t="n">
        <x:v>0</x:v>
      </x:c>
      <x:c r="N12" s="13" t="n">
        <x:f>K12+L12</x:f>
        <x:v>0</x:v>
      </x:c>
      <x:c r="O12" s="14" t="n">
        <x:v>0</x:v>
      </x:c>
      <x:c r="P12" s="13" t="n">
        <x:v>0</x:v>
      </x:c>
      <x:c r="Q12" s="10" t="n">
        <x:v>0</x:v>
      </x:c>
      <x:c r="R12" s="10" t="str">
        <x:v>未触发</x:v>
      </x:c>
      <x:c r="S12" s="10" t="str">
        <x:v>未触发</x:v>
      </x:c>
      <x:c r="T12" s="10" t="str">
        <x:v>/Users/wangjinhua/Downloads/vista-travel-macos-handoff-20260819-192318/data/raw/formal-task006-local-3x3-minimaxm3-20260824-03-readiness-final/readiness.json；未执行：task-006 缺失 BugSwarm 失败仓库与 /home/github 构建环境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7cfbbf4c2e1e4e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8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4" hidden="0" customWidth="1"/>
    <x:col min="11" max="11" width="30" hidden="0" customWidth="1"/>
  </x:cols>
  <x:sheetData>
    <x:row r="1" ht="28" customHeight="1">
      <x:c r="A1" s="3" t="str">
        <x:v>Token 与成本（正式批次未启动，公式汇总为 0）</x:v>
      </x:c>
      <x:c r="B1" s="3" t="str">
        <x:v>Token 与成本（正式批次未启动，公式汇总为 0）</x:v>
      </x:c>
      <x:c r="C1" s="3" t="str">
        <x:v>Token 与成本（正式批次未启动，公式汇总为 0）</x:v>
      </x:c>
      <x:c r="D1" s="3" t="str">
        <x:v>Token 与成本（正式批次未启动，公式汇总为 0）</x:v>
      </x:c>
      <x:c r="E1" s="3" t="str">
        <x:v>Token 与成本（正式批次未启动，公式汇总为 0）</x:v>
      </x:c>
      <x:c r="F1" s="3" t="str">
        <x:v>Token 与成本（正式批次未启动，公式汇总为 0）</x:v>
      </x:c>
      <x:c r="G1" s="3" t="str">
        <x:v>Token 与成本（正式批次未启动，公式汇总为 0）</x:v>
      </x:c>
      <x:c r="H1" s="3" t="str">
        <x:v>Token 与成本（正式批次未启动，公式汇总为 0）</x:v>
      </x:c>
      <x:c r="I1" s="3" t="str">
        <x:v>Token 与成本（正式批次未启动，公式汇总为 0）</x:v>
      </x:c>
      <x:c r="J1" s="3" t="str">
        <x:v>Token 与成本（正式批次未启动，公式汇总为 0）</x:v>
      </x:c>
      <x:c r="K1" s="3" t="str">
        <x:v>Token 与成本（正式批次未启动，公式汇总为 0）</x:v>
      </x:c>
    </x:row>
    <x:row r="3" ht="22" customHeight="1">
      <x:c r="A3" s="16" t="str">
        <x:v>逐组使用量与费用</x:v>
      </x:c>
      <x:c r="B3" s="16" t="str">
        <x:v>逐组使用量与费用</x:v>
      </x:c>
      <x:c r="C3" s="16" t="str">
        <x:v>逐组使用量与费用</x:v>
      </x:c>
      <x:c r="D3" s="16" t="str">
        <x:v>逐组使用量与费用</x:v>
      </x:c>
      <x:c r="E3" s="16" t="str">
        <x:v>逐组使用量与费用</x:v>
      </x:c>
      <x:c r="F3" s="16" t="str">
        <x:v>逐组使用量与费用</x:v>
      </x:c>
      <x:c r="G3" s="16" t="str">
        <x:v>逐组使用量与费用</x:v>
      </x:c>
      <x:c r="H3" s="16" t="str">
        <x:v>逐组使用量与费用</x:v>
      </x:c>
      <x:c r="I3" s="16" t="str">
        <x:v>逐组使用量与费用</x:v>
      </x:c>
      <x:c r="J3" s="16" t="str">
        <x:v>逐组使用量与费用</x:v>
      </x:c>
      <x:c r="K3" s="16" t="str">
        <x:v>逐组使用量与费用</x:v>
      </x:c>
    </x:row>
    <x:row r="4">
      <x:c r="A4" s="7" t="str">
        <x:v>组ID</x:v>
      </x:c>
      <x:c r="B4" s="7" t="str">
        <x:v>条件</x:v>
      </x:c>
      <x:c r="C4" s="7" t="str">
        <x:v>重复</x:v>
      </x:c>
      <x:c r="D4" s="7" t="str">
        <x:v>请求数</x:v>
      </x:c>
      <x:c r="E4" s="7" t="str">
        <x:v>工具调用</x:v>
      </x:c>
      <x:c r="F4" s="7" t="str">
        <x:v>输入Token</x:v>
      </x:c>
      <x:c r="G4" s="7" t="str">
        <x:v>输出Token</x:v>
      </x:c>
      <x:c r="H4" s="7" t="str">
        <x:v>缓存读取Token</x:v>
      </x:c>
      <x:c r="I4" s="7" t="str">
        <x:v>输入+输出Token</x:v>
      </x:c>
      <x:c r="J4" s="7" t="str">
        <x:v>记录费用</x:v>
      </x:c>
      <x:c r="K4" s="7" t="str">
        <x:v>Session ID</x:v>
      </x:c>
    </x:row>
    <x:row r="5">
      <x:c r="A5" s="10" t="str">
        <x:f>'9组明细'!A4</x:f>
        <x:v>noskill-01</x:v>
      </x:c>
      <x:c r="B5" s="10" t="str">
        <x:f>'9组明细'!B4</x:f>
        <x:v>noskill</x:v>
      </x:c>
      <x:c r="C5" s="10" t="n">
        <x:f>'9组明细'!C4</x:f>
        <x:v>1</x:v>
      </x:c>
      <x:c r="D5" s="13" t="n">
        <x:f>'9组明细'!H4</x:f>
        <x:v>0</x:v>
      </x:c>
      <x:c r="E5" s="13" t="n">
        <x:f>'9组明细'!I4</x:f>
        <x:v>0</x:v>
      </x:c>
      <x:c r="F5" s="13" t="n">
        <x:f>'9组明细'!K4</x:f>
        <x:v>0</x:v>
      </x:c>
      <x:c r="G5" s="13" t="n">
        <x:f>'9组明细'!L4</x:f>
        <x:v>0</x:v>
      </x:c>
      <x:c r="H5" s="13" t="n">
        <x:f>'9组明细'!M4</x:f>
        <x:v>0</x:v>
      </x:c>
      <x:c r="I5" s="13" t="n">
        <x:f>'9组明细'!N4</x:f>
        <x:v>0</x:v>
      </x:c>
      <x:c r="J5" s="14" t="n">
        <x:f>'9组明细'!O4</x:f>
        <x:v>0</x:v>
      </x:c>
      <x:c r="K5" s="10" t="str">
        <x:f>IF('9组明细'!G4="","",'9组明细'!G4)</x:f>
      </x:c>
    </x:row>
    <x:row r="6">
      <x:c r="A6" s="10" t="str">
        <x:f>'9组明细'!A5</x:f>
        <x:v>native-01</x:v>
      </x:c>
      <x:c r="B6" s="10" t="str">
        <x:f>'9组明细'!B5</x:f>
        <x:v>native</x:v>
      </x:c>
      <x:c r="C6" s="10" t="n">
        <x:f>'9组明细'!C5</x:f>
        <x:v>1</x:v>
      </x:c>
      <x:c r="D6" s="13" t="n">
        <x:f>'9组明细'!H5</x:f>
        <x:v>0</x:v>
      </x:c>
      <x:c r="E6" s="13" t="n">
        <x:f>'9组明细'!I5</x:f>
        <x:v>0</x:v>
      </x:c>
      <x:c r="F6" s="13" t="n">
        <x:f>'9组明细'!K5</x:f>
        <x:v>0</x:v>
      </x:c>
      <x:c r="G6" s="13" t="n">
        <x:f>'9组明细'!L5</x:f>
        <x:v>0</x:v>
      </x:c>
      <x:c r="H6" s="13" t="n">
        <x:f>'9组明细'!M5</x:f>
        <x:v>0</x:v>
      </x:c>
      <x:c r="I6" s="13" t="n">
        <x:f>'9组明细'!N5</x:f>
        <x:v>0</x:v>
      </x:c>
      <x:c r="J6" s="14" t="n">
        <x:f>'9组明细'!O5</x:f>
        <x:v>0</x:v>
      </x:c>
      <x:c r="K6" s="10" t="str">
        <x:f>IF('9组明细'!G5="","",'9组明细'!G5)</x:f>
      </x:c>
    </x:row>
    <x:row r="7">
      <x:c r="A7" s="10" t="str">
        <x:f>'9组明细'!A6</x:f>
        <x:v>pd-vista-01</x:v>
      </x:c>
      <x:c r="B7" s="10" t="str">
        <x:f>'9组明细'!B6</x:f>
        <x:v>pd-vista</x:v>
      </x:c>
      <x:c r="C7" s="10" t="n">
        <x:f>'9组明细'!C6</x:f>
        <x:v>1</x:v>
      </x:c>
      <x:c r="D7" s="13" t="n">
        <x:f>'9组明细'!H6</x:f>
        <x:v>0</x:v>
      </x:c>
      <x:c r="E7" s="13" t="n">
        <x:f>'9组明细'!I6</x:f>
        <x:v>0</x:v>
      </x:c>
      <x:c r="F7" s="13" t="n">
        <x:f>'9组明细'!K6</x:f>
        <x:v>0</x:v>
      </x:c>
      <x:c r="G7" s="13" t="n">
        <x:f>'9组明细'!L6</x:f>
        <x:v>0</x:v>
      </x:c>
      <x:c r="H7" s="13" t="n">
        <x:f>'9组明细'!M6</x:f>
        <x:v>0</x:v>
      </x:c>
      <x:c r="I7" s="13" t="n">
        <x:f>'9组明细'!N6</x:f>
        <x:v>0</x:v>
      </x:c>
      <x:c r="J7" s="14" t="n">
        <x:f>'9组明细'!O6</x:f>
        <x:v>0</x:v>
      </x:c>
      <x:c r="K7" s="10" t="str">
        <x:f>IF('9组明细'!G6="","",'9组明细'!G6)</x:f>
      </x:c>
    </x:row>
    <x:row r="8">
      <x:c r="A8" s="10" t="str">
        <x:f>'9组明细'!A7</x:f>
        <x:v>native-02</x:v>
      </x:c>
      <x:c r="B8" s="10" t="str">
        <x:f>'9组明细'!B7</x:f>
        <x:v>native</x:v>
      </x:c>
      <x:c r="C8" s="10" t="n">
        <x:f>'9组明细'!C7</x:f>
        <x:v>2</x:v>
      </x:c>
      <x:c r="D8" s="13" t="n">
        <x:f>'9组明细'!H7</x:f>
        <x:v>0</x:v>
      </x:c>
      <x:c r="E8" s="13" t="n">
        <x:f>'9组明细'!I7</x:f>
        <x:v>0</x:v>
      </x:c>
      <x:c r="F8" s="13" t="n">
        <x:f>'9组明细'!K7</x:f>
        <x:v>0</x:v>
      </x:c>
      <x:c r="G8" s="13" t="n">
        <x:f>'9组明细'!L7</x:f>
        <x:v>0</x:v>
      </x:c>
      <x:c r="H8" s="13" t="n">
        <x:f>'9组明细'!M7</x:f>
        <x:v>0</x:v>
      </x:c>
      <x:c r="I8" s="13" t="n">
        <x:f>'9组明细'!N7</x:f>
        <x:v>0</x:v>
      </x:c>
      <x:c r="J8" s="14" t="n">
        <x:f>'9组明细'!O7</x:f>
        <x:v>0</x:v>
      </x:c>
      <x:c r="K8" s="10" t="str">
        <x:f>IF('9组明细'!G7="","",'9组明细'!G7)</x:f>
      </x:c>
    </x:row>
    <x:row r="9">
      <x:c r="A9" s="10" t="str">
        <x:f>'9组明细'!A8</x:f>
        <x:v>pd-vista-02</x:v>
      </x:c>
      <x:c r="B9" s="10" t="str">
        <x:f>'9组明细'!B8</x:f>
        <x:v>pd-vista</x:v>
      </x:c>
      <x:c r="C9" s="10" t="n">
        <x:f>'9组明细'!C8</x:f>
        <x:v>2</x:v>
      </x:c>
      <x:c r="D9" s="13" t="n">
        <x:f>'9组明细'!H8</x:f>
        <x:v>0</x:v>
      </x:c>
      <x:c r="E9" s="13" t="n">
        <x:f>'9组明细'!I8</x:f>
        <x:v>0</x:v>
      </x:c>
      <x:c r="F9" s="13" t="n">
        <x:f>'9组明细'!K8</x:f>
        <x:v>0</x:v>
      </x:c>
      <x:c r="G9" s="13" t="n">
        <x:f>'9组明细'!L8</x:f>
        <x:v>0</x:v>
      </x:c>
      <x:c r="H9" s="13" t="n">
        <x:f>'9组明细'!M8</x:f>
        <x:v>0</x:v>
      </x:c>
      <x:c r="I9" s="13" t="n">
        <x:f>'9组明细'!N8</x:f>
        <x:v>0</x:v>
      </x:c>
      <x:c r="J9" s="14" t="n">
        <x:f>'9组明细'!O8</x:f>
        <x:v>0</x:v>
      </x:c>
      <x:c r="K9" s="10" t="str">
        <x:f>IF('9组明细'!G8="","",'9组明细'!G8)</x:f>
      </x:c>
    </x:row>
    <x:row r="10">
      <x:c r="A10" s="10" t="str">
        <x:f>'9组明细'!A9</x:f>
        <x:v>noskill-02</x:v>
      </x:c>
      <x:c r="B10" s="10" t="str">
        <x:f>'9组明细'!B9</x:f>
        <x:v>noskill</x:v>
      </x:c>
      <x:c r="C10" s="10" t="n">
        <x:f>'9组明细'!C9</x:f>
        <x:v>2</x:v>
      </x:c>
      <x:c r="D10" s="13" t="n">
        <x:f>'9组明细'!H9</x:f>
        <x:v>0</x:v>
      </x:c>
      <x:c r="E10" s="13" t="n">
        <x:f>'9组明细'!I9</x:f>
        <x:v>0</x:v>
      </x:c>
      <x:c r="F10" s="13" t="n">
        <x:f>'9组明细'!K9</x:f>
        <x:v>0</x:v>
      </x:c>
      <x:c r="G10" s="13" t="n">
        <x:f>'9组明细'!L9</x:f>
        <x:v>0</x:v>
      </x:c>
      <x:c r="H10" s="13" t="n">
        <x:f>'9组明细'!M9</x:f>
        <x:v>0</x:v>
      </x:c>
      <x:c r="I10" s="13" t="n">
        <x:f>'9组明细'!N9</x:f>
        <x:v>0</x:v>
      </x:c>
      <x:c r="J10" s="14" t="n">
        <x:f>'9组明细'!O9</x:f>
        <x:v>0</x:v>
      </x:c>
      <x:c r="K10" s="10" t="str">
        <x:f>IF('9组明细'!G9="","",'9组明细'!G9)</x:f>
      </x:c>
    </x:row>
    <x:row r="11">
      <x:c r="A11" s="10" t="str">
        <x:f>'9组明细'!A10</x:f>
        <x:v>pd-vista-03</x:v>
      </x:c>
      <x:c r="B11" s="10" t="str">
        <x:f>'9组明细'!B10</x:f>
        <x:v>pd-vista</x:v>
      </x:c>
      <x:c r="C11" s="10" t="n">
        <x:f>'9组明细'!C10</x:f>
        <x:v>3</x:v>
      </x:c>
      <x:c r="D11" s="13" t="n">
        <x:f>'9组明细'!H10</x:f>
        <x:v>0</x:v>
      </x:c>
      <x:c r="E11" s="13" t="n">
        <x:f>'9组明细'!I10</x:f>
        <x:v>0</x:v>
      </x:c>
      <x:c r="F11" s="13" t="n">
        <x:f>'9组明细'!K10</x:f>
        <x:v>0</x:v>
      </x:c>
      <x:c r="G11" s="13" t="n">
        <x:f>'9组明细'!L10</x:f>
        <x:v>0</x:v>
      </x:c>
      <x:c r="H11" s="13" t="n">
        <x:f>'9组明细'!M10</x:f>
        <x:v>0</x:v>
      </x:c>
      <x:c r="I11" s="13" t="n">
        <x:f>'9组明细'!N10</x:f>
        <x:v>0</x:v>
      </x:c>
      <x:c r="J11" s="14" t="n">
        <x:f>'9组明细'!O10</x:f>
        <x:v>0</x:v>
      </x:c>
      <x:c r="K11" s="10" t="str">
        <x:f>IF('9组明细'!G10="","",'9组明细'!G10)</x:f>
      </x:c>
    </x:row>
    <x:row r="12">
      <x:c r="A12" s="10" t="str">
        <x:f>'9组明细'!A11</x:f>
        <x:v>noskill-03</x:v>
      </x:c>
      <x:c r="B12" s="10" t="str">
        <x:f>'9组明细'!B11</x:f>
        <x:v>noskill</x:v>
      </x:c>
      <x:c r="C12" s="10" t="n">
        <x:f>'9组明细'!C11</x:f>
        <x:v>3</x:v>
      </x:c>
      <x:c r="D12" s="13" t="n">
        <x:f>'9组明细'!H11</x:f>
        <x:v>0</x:v>
      </x:c>
      <x:c r="E12" s="13" t="n">
        <x:f>'9组明细'!I11</x:f>
        <x:v>0</x:v>
      </x:c>
      <x:c r="F12" s="13" t="n">
        <x:f>'9组明细'!K11</x:f>
        <x:v>0</x:v>
      </x:c>
      <x:c r="G12" s="13" t="n">
        <x:f>'9组明细'!L11</x:f>
        <x:v>0</x:v>
      </x:c>
      <x:c r="H12" s="13" t="n">
        <x:f>'9组明细'!M11</x:f>
        <x:v>0</x:v>
      </x:c>
      <x:c r="I12" s="13" t="n">
        <x:f>'9组明细'!N11</x:f>
        <x:v>0</x:v>
      </x:c>
      <x:c r="J12" s="14" t="n">
        <x:f>'9组明细'!O11</x:f>
        <x:v>0</x:v>
      </x:c>
      <x:c r="K12" s="10" t="str">
        <x:f>IF('9组明细'!G11="","",'9组明细'!G11)</x:f>
      </x:c>
    </x:row>
    <x:row r="13">
      <x:c r="A13" s="10" t="str">
        <x:f>'9组明细'!A12</x:f>
        <x:v>native-03</x:v>
      </x:c>
      <x:c r="B13" s="10" t="str">
        <x:f>'9组明细'!B12</x:f>
        <x:v>native</x:v>
      </x:c>
      <x:c r="C13" s="10" t="n">
        <x:f>'9组明细'!C12</x:f>
        <x:v>3</x:v>
      </x:c>
      <x:c r="D13" s="13" t="n">
        <x:f>'9组明细'!H12</x:f>
        <x:v>0</x:v>
      </x:c>
      <x:c r="E13" s="13" t="n">
        <x:f>'9组明细'!I12</x:f>
        <x:v>0</x:v>
      </x:c>
      <x:c r="F13" s="13" t="n">
        <x:f>'9组明细'!K12</x:f>
        <x:v>0</x:v>
      </x:c>
      <x:c r="G13" s="13" t="n">
        <x:f>'9组明细'!L12</x:f>
        <x:v>0</x:v>
      </x:c>
      <x:c r="H13" s="13" t="n">
        <x:f>'9组明细'!M12</x:f>
        <x:v>0</x:v>
      </x:c>
      <x:c r="I13" s="13" t="n">
        <x:f>'9组明细'!N12</x:f>
        <x:v>0</x:v>
      </x:c>
      <x:c r="J13" s="14" t="n">
        <x:f>'9组明细'!O12</x:f>
        <x:v>0</x:v>
      </x:c>
      <x:c r="K13" s="10" t="str">
        <x:f>IF('9组明细'!G12="","",'9组明细'!G12)</x:f>
      </x:c>
    </x:row>
    <x:row r="16" ht="22" customHeight="1">
      <x:c r="A16" s="16" t="str">
        <x:v>条件汇总（由 9 组明细公式计算）</x:v>
      </x:c>
      <x:c r="B16" s="16" t="str">
        <x:v>条件汇总（由 9 组明细公式计算）</x:v>
      </x:c>
      <x:c r="C16" s="16" t="str">
        <x:v>条件汇总（由 9 组明细公式计算）</x:v>
      </x:c>
      <x:c r="D16" s="16" t="str">
        <x:v>条件汇总（由 9 组明细公式计算）</x:v>
      </x:c>
      <x:c r="E16" s="16" t="str">
        <x:v>条件汇总（由 9 组明细公式计算）</x:v>
      </x:c>
      <x:c r="F16" s="16" t="str">
        <x:v>条件汇总（由 9 组明细公式计算）</x:v>
      </x:c>
      <x:c r="G16" s="16" t="str">
        <x:v>条件汇总（由 9 组明细公式计算）</x:v>
      </x:c>
      <x:c r="H16" s="16" t="str">
        <x:v>条件汇总（由 9 组明细公式计算）</x:v>
      </x:c>
      <x:c r="I16" s="16" t="str">
        <x:v>条件汇总（由 9 组明细公式计算）</x:v>
      </x:c>
      <x:c r="J16" s="16" t="str">
        <x:v>条件汇总（由 9 组明细公式计算）</x:v>
      </x:c>
      <x:c r="K16" s="16" t="str">
        <x:v>条件汇总（由 9 组明细公式计算）</x:v>
      </x:c>
    </x:row>
    <x:row r="17">
      <x:c r="A17" s="7" t="str">
        <x:v>条件</x:v>
      </x:c>
      <x:c r="B17" s="7" t="str">
        <x:v>计划数</x:v>
      </x:c>
      <x:c r="C17" s="7" t="str">
        <x:v>完成数</x:v>
      </x:c>
      <x:c r="D17" s="7" t="str">
        <x:v>通过数</x:v>
      </x:c>
      <x:c r="E17" s="7" t="str">
        <x:v>通过率</x:v>
      </x:c>
      <x:c r="F17" s="7" t="str">
        <x:v>请求数</x:v>
      </x:c>
      <x:c r="G17" s="7" t="str">
        <x:v>工具调用</x:v>
      </x:c>
      <x:c r="H17" s="7" t="str">
        <x:v>输入Token</x:v>
      </x:c>
      <x:c r="I17" s="7" t="str">
        <x:v>输出Token</x:v>
      </x:c>
      <x:c r="J17" s="7" t="str">
        <x:v>缓存读取Token</x:v>
      </x:c>
      <x:c r="K17" s="7" t="str">
        <x:v>记录费用</x:v>
      </x:c>
    </x:row>
    <x:row r="18">
      <x:c r="A18" s="17" t="str">
        <x:v>noskill</x:v>
      </x:c>
      <x:c r="B18" s="17" t="n">
        <x:f>COUNTIF('9组明细'!$B$4:$B$12,A18)</x:f>
        <x:v>3</x:v>
      </x:c>
      <x:c r="C18" s="17" t="n">
        <x:f>COUNTIFS('9组明细'!$B$4:$B$12,A18,'9组明细'!$E$4:$E$12,"已完成")</x:f>
        <x:v>0</x:v>
      </x:c>
      <x:c r="D18" s="17" t="n">
        <x:f>COUNTIFS('9组明细'!$B$4:$B$12,A18,'9组明细'!$F$4:$F$12,"通过")</x:f>
        <x:v>0</x:v>
      </x:c>
      <x:c r="E18" s="18" t="n">
        <x:f>IFERROR(D18/B18,0)</x:f>
        <x:v>0</x:v>
      </x:c>
      <x:c r="F18" s="19" t="n">
        <x:f>SUMIF('9组明细'!$B$4:$B$12,A18,'9组明细'!$H$4:$H$12)</x:f>
        <x:v>0</x:v>
      </x:c>
      <x:c r="G18" s="19" t="n">
        <x:f>SUMIF('9组明细'!$B$4:$B$12,A18,'9组明细'!$I$4:$I$12)</x:f>
        <x:v>0</x:v>
      </x:c>
      <x:c r="H18" s="19" t="n">
        <x:f>SUMIF('9组明细'!$B$4:$B$12,A18,'9组明细'!$K$4:$K$12)</x:f>
        <x:v>0</x:v>
      </x:c>
      <x:c r="I18" s="19" t="n">
        <x:f>SUMIF('9组明细'!$B$4:$B$12,A18,'9组明细'!$L$4:$L$12)</x:f>
        <x:v>0</x:v>
      </x:c>
      <x:c r="J18" s="19" t="n">
        <x:f>SUMIF('9组明细'!$B$4:$B$12,A18,'9组明细'!$M$4:$M$12)</x:f>
        <x:v>0</x:v>
      </x:c>
      <x:c r="K18" s="20" t="n">
        <x:f>SUMIF('9组明细'!$B$4:$B$12,A18,'9组明细'!$O$4:$O$12)</x:f>
        <x:v>0</x:v>
      </x:c>
    </x:row>
    <x:row r="19">
      <x:c r="A19" s="17" t="str">
        <x:v>native</x:v>
      </x:c>
      <x:c r="B19" s="17" t="n">
        <x:f>COUNTIF('9组明细'!$B$4:$B$12,A19)</x:f>
        <x:v>3</x:v>
      </x:c>
      <x:c r="C19" s="17" t="n">
        <x:f>COUNTIFS('9组明细'!$B$4:$B$12,A19,'9组明细'!$E$4:$E$12,"已完成")</x:f>
        <x:v>0</x:v>
      </x:c>
      <x:c r="D19" s="17" t="n">
        <x:f>COUNTIFS('9组明细'!$B$4:$B$12,A19,'9组明细'!$F$4:$F$12,"通过")</x:f>
        <x:v>0</x:v>
      </x:c>
      <x:c r="E19" s="18" t="n">
        <x:f>IFERROR(D19/B19,0)</x:f>
        <x:v>0</x:v>
      </x:c>
      <x:c r="F19" s="19" t="n">
        <x:f>SUMIF('9组明细'!$B$4:$B$12,A19,'9组明细'!$H$4:$H$12)</x:f>
        <x:v>0</x:v>
      </x:c>
      <x:c r="G19" s="19" t="n">
        <x:f>SUMIF('9组明细'!$B$4:$B$12,A19,'9组明细'!$I$4:$I$12)</x:f>
        <x:v>0</x:v>
      </x:c>
      <x:c r="H19" s="19" t="n">
        <x:f>SUMIF('9组明细'!$B$4:$B$12,A19,'9组明细'!$K$4:$K$12)</x:f>
        <x:v>0</x:v>
      </x:c>
      <x:c r="I19" s="19" t="n">
        <x:f>SUMIF('9组明细'!$B$4:$B$12,A19,'9组明细'!$L$4:$L$12)</x:f>
        <x:v>0</x:v>
      </x:c>
      <x:c r="J19" s="19" t="n">
        <x:f>SUMIF('9组明细'!$B$4:$B$12,A19,'9组明细'!$M$4:$M$12)</x:f>
        <x:v>0</x:v>
      </x:c>
      <x:c r="K19" s="20" t="n">
        <x:f>SUMIF('9组明细'!$B$4:$B$12,A19,'9组明细'!$O$4:$O$12)</x:f>
        <x:v>0</x:v>
      </x:c>
    </x:row>
    <x:row r="20">
      <x:c r="A20" s="17" t="str">
        <x:v>pd-vista</x:v>
      </x:c>
      <x:c r="B20" s="17" t="n">
        <x:f>COUNTIF('9组明细'!$B$4:$B$12,A20)</x:f>
        <x:v>3</x:v>
      </x:c>
      <x:c r="C20" s="17" t="n">
        <x:f>COUNTIFS('9组明细'!$B$4:$B$12,A20,'9组明细'!$E$4:$E$12,"已完成")</x:f>
        <x:v>0</x:v>
      </x:c>
      <x:c r="D20" s="17" t="n">
        <x:f>COUNTIFS('9组明细'!$B$4:$B$12,A20,'9组明细'!$F$4:$F$12,"通过")</x:f>
        <x:v>0</x:v>
      </x:c>
      <x:c r="E20" s="18" t="n">
        <x:f>IFERROR(D20/B20,0)</x:f>
        <x:v>0</x:v>
      </x:c>
      <x:c r="F20" s="19" t="n">
        <x:f>SUMIF('9组明细'!$B$4:$B$12,A20,'9组明细'!$H$4:$H$12)</x:f>
        <x:v>0</x:v>
      </x:c>
      <x:c r="G20" s="19" t="n">
        <x:f>SUMIF('9组明细'!$B$4:$B$12,A20,'9组明细'!$I$4:$I$12)</x:f>
        <x:v>0</x:v>
      </x:c>
      <x:c r="H20" s="19" t="n">
        <x:f>SUMIF('9组明细'!$B$4:$B$12,A20,'9组明细'!$K$4:$K$12)</x:f>
        <x:v>0</x:v>
      </x:c>
      <x:c r="I20" s="19" t="n">
        <x:f>SUMIF('9组明细'!$B$4:$B$12,A20,'9组明细'!$L$4:$L$12)</x:f>
        <x:v>0</x:v>
      </x:c>
      <x:c r="J20" s="19" t="n">
        <x:f>SUMIF('9组明细'!$B$4:$B$12,A20,'9组明细'!$M$4:$M$12)</x:f>
        <x:v>0</x:v>
      </x:c>
      <x:c r="K20" s="20" t="n">
        <x:f>SUMIF('9组明细'!$B$4:$B$12,A20,'9组明细'!$O$4:$O$12)</x:f>
        <x:v>0</x:v>
      </x:c>
    </x:row>
  </x:sheetData>
  <x:mergeCells>
    <x:mergeCell ref="A1:K1"/>
    <x:mergeCell ref="A3:K3"/>
    <x:mergeCell ref="A16:K16"/>
  </x:mergeCells>
  <x:pageMargins left="0.7" right="0.7" top="0.75" bottom="0.75" header="0.3" footer="0.3"/>
  <x:tableParts count="1">
    <x:tablePart xmlns:r="http://schemas.openxmlformats.org/officeDocument/2006/relationships" r:id="R70cd9cf18e1d41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40" hidden="0" customWidth="1"/>
    <x:col min="4" max="4" width="36" hidden="0" customWidth="1"/>
    <x:col min="5" max="5" width="42" hidden="0" customWidth="1"/>
    <x:col min="6" max="6" width="34" hidden="0" customWidth="1"/>
  </x:cols>
  <x:sheetData>
    <x:row r="1" ht="28" customHeight="1">
      <x:c r="A1" s="3" t="str">
        <x:v>方法与流程（task6 · 本机 OpenCode readiness 审计）</x:v>
      </x:c>
      <x:c r="B1" s="3" t="str">
        <x:v>方法与流程（task6 · 本机 OpenCode readiness 审计）</x:v>
      </x:c>
      <x:c r="C1" s="3" t="str">
        <x:v>方法与流程（task6 · 本机 OpenCode readiness 审计）</x:v>
      </x:c>
      <x:c r="D1" s="3" t="str">
        <x:v>方法与流程（task6 · 本机 OpenCode readiness 审计）</x:v>
      </x:c>
      <x:c r="E1" s="3" t="str">
        <x:v>方法与流程（task6 · 本机 OpenCode readiness 审计）</x:v>
      </x:c>
      <x:c r="F1" s="3" t="str">
        <x:v>方法与流程（task6 · 本机 OpenCode readiness 审计）</x:v>
      </x:c>
    </x:row>
    <x:row r="3" ht="22" customHeight="1">
      <x:c r="A3" s="16" t="str">
        <x:v>执行协议与当前状态</x:v>
      </x:c>
      <x:c r="B3" s="16" t="str">
        <x:v>执行协议与当前状态</x:v>
      </x:c>
      <x:c r="C3" s="16" t="str">
        <x:v>执行协议与当前状态</x:v>
      </x:c>
      <x:c r="D3" s="16" t="str">
        <x:v>执行协议与当前状态</x:v>
      </x:c>
      <x:c r="E3" s="16" t="str">
        <x:v>执行协议与当前状态</x:v>
      </x:c>
      <x:c r="F3" s="16" t="str">
        <x:v>执行协议与当前状态</x:v>
      </x:c>
    </x:row>
    <x:row r="4">
      <x:c r="A4" s="7" t="str">
        <x:v>步骤</x:v>
      </x:c>
      <x:c r="B4" s="7" t="str">
        <x:v>统一协议</x:v>
      </x:c>
      <x:c r="C4" s="7" t="str">
        <x:v>task6 状态</x:v>
      </x:c>
      <x:c r="D4" s="7" t="str">
        <x:v>公开证据</x:v>
      </x:c>
      <x:c r="E4" s="7" t="str">
        <x:v>正式统计</x:v>
      </x:c>
      <x:c r="F4" s="7" t="str">
        <x:v>中文说明</x:v>
      </x:c>
    </x:row>
    <x:row r="5">
      <x:c r="A5" s="10" t="str">
        <x:v>1</x:v>
      </x:c>
      <x:c r="B5" s="10" t="str">
        <x:v>独立确认身份</x:v>
      </x:c>
      <x:c r="C5" s="10" t="str">
        <x:v>task-006 / fix-build-agentops</x:v>
      </x:c>
      <x:c r="D5" s="10" t="str">
        <x:v>/Users/wangjinhua/Downloads/vista-travel-macos-handoff-20260819-192318/tasks/pilot/task-006/task.yaml</x:v>
      </x:c>
      <x:c r="E5" s="10" t="str">
        <x:v>否</x:v>
      </x:c>
      <x:c r="F5" s="10" t="str">
        <x:v>身份解析通过，但不等于输入材料就绪。</x:v>
      </x:c>
    </x:row>
    <x:row r="6">
      <x:c r="A6" s="10" t="str">
        <x:v>2</x:v>
      </x:c>
      <x:c r="B6" s="10" t="str">
        <x:v>检查任务材料</x:v>
      </x:c>
      <x:c r="C6" s="10" t="str">
        <x:v>task.md、Dockerfile、Verifier、4 个原始模块存在；失败仓库缺失</x:v>
      </x:c>
      <x:c r="D6" s="10" t="str">
        <x:v>/Users/wangjinhua/Downloads/vista-travel-macos-handoff-20260819-192318/data/raw/formal-task006-local-3x3-minimaxm3-20260824-03-readiness-final/readiness.json</x:v>
      </x:c>
      <x:c r="E6" s="10" t="str">
        <x:v>否</x:v>
      </x:c>
      <x:c r="F6" s="10" t="str">
        <x:v>不能用 Dockerfile 代替原始代码库。</x:v>
      </x:c>
    </x:row>
    <x:row r="7">
      <x:c r="A7" s="10" t="str">
        <x:v>3</x:v>
      </x:c>
      <x:c r="B7" s="10" t="str">
        <x:v>最小依赖</x:v>
      </x:c>
      <x:c r="C7" s="10" t="str">
        <x:v>项目 .venv 补齐 unidiff==0.7.5；pytest/yaml 已有</x:v>
      </x:c>
      <x:c r="D7" s="10" t="str">
        <x:v>/Users/wangjinhua/Downloads/vista-travel-macos-handoff-20260819-192318/.venv</x:v>
      </x:c>
      <x:c r="E7" s="10" t="str">
        <x:v>否</x:v>
      </x:c>
      <x:c r="F7" s="10" t="str">
        <x:v>仅补 Verifier 收集所需依赖，未安装平台。</x:v>
      </x:c>
    </x:row>
    <x:row r="8">
      <x:c r="A8" s="10" t="str">
        <x:v>4</x:v>
      </x:c>
      <x:c r="B8" s="10" t="str">
        <x:v>公开 Verifier 入口</x:v>
      </x:c>
      <x:c r="C8" s="10" t="str">
        <x:v>pytest --collect-only 通过，3 tests collected</x:v>
      </x:c>
      <x:c r="D8" s="10" t="str">
        <x:v>/Users/wangjinhua/Downloads/vista-travel-macos-handoff-20260819-192318/vendor/skillsbench/tasks/fix-build-agentops/verifier/test_outputs.py</x:v>
      </x:c>
      <x:c r="E8" s="10" t="str">
        <x:v>否</x:v>
      </x:c>
      <x:c r="F8" s="10" t="str">
        <x:v>收集通过但完整运行依赖 /home/github。</x:v>
      </x:c>
    </x:row>
    <x:row r="9">
      <x:c r="A9" s="10" t="str">
        <x:v>5</x:v>
      </x:c>
      <x:c r="B9" s="10" t="str">
        <x:v>共享限流检查</x:v>
      </x:c>
      <x:c r="C9" s="10" t="str">
        <x:v>未发现其他 task 的 OpenCode/控制器进程</x:v>
      </x:c>
      <x:c r="D9" s="10" t="str">
        <x:v>独立只读 ps 检查为空</x:v>
      </x:c>
      <x:c r="E9" s="10" t="str">
        <x:v>否</x:v>
      </x:c>
      <x:c r="F9" s="10" t="str">
        <x:v>因此不存在等待窗口；正式批次仍因 readiness 阻断。</x:v>
      </x:c>
    </x:row>
    <x:row r="10">
      <x:c r="A10" s="10" t="str">
        <x:v>6</x:v>
      </x:c>
      <x:c r="B10" s="10" t="str">
        <x:v>平衡交错矩阵</x:v>
      </x:c>
      <x:c r="C10" s="10" t="str">
        <x:v>计划 9 组：1N-1Native-1PDV-2Native-2PDV-2N-3PDV-3N-3Native</x:v>
      </x:c>
      <x:c r="D10" s="10" t="str">
        <x:v>9组明细</x:v>
      </x:c>
      <x:c r="E10" s="10" t="str">
        <x:v>计划</x:v>
      </x:c>
      <x:c r="F10" s="10" t="str">
        <x:v>尚未创建任何工作区、session 或 DB。</x:v>
      </x:c>
    </x:row>
    <x:row r="11">
      <x:c r="A11" s="10" t="str">
        <x:v>7</x:v>
      </x:c>
      <x:c r="B11" s="10" t="str">
        <x:v>No-Skill</x:v>
      </x:c>
      <x:c r="C11" s="10" t="str">
        <x:v>计划首轮不提供任务 Skill</x:v>
      </x:c>
      <x:c r="D11" s="10" t="str">
        <x:v>条件提示词</x:v>
      </x:c>
      <x:c r="E11" s="10" t="str">
        <x:v>计划</x:v>
      </x:c>
      <x:c r="F11" s="10" t="str">
        <x:v>仅使用 task.md 与本地任务材料。</x:v>
      </x:c>
    </x:row>
    <x:row r="12">
      <x:c r="A12" s="10" t="str">
        <x:v>8</x:v>
      </x:c>
      <x:c r="B12" s="10" t="str">
        <x:v>Native</x:v>
      </x:c>
      <x:c r="C12" s="10" t="str">
        <x:v>计划首轮完整提供 4 个原始模块</x:v>
      </x:c>
      <x:c r="D12" s="10" t="str">
        <x:v>条件提示词</x:v>
      </x:c>
      <x:c r="E12" s="10" t="str">
        <x:v>计划</x:v>
      </x:c>
      <x:c r="F12" s="10" t="str">
        <x:v>模块正文不改写。</x:v>
      </x:c>
    </x:row>
    <x:row r="13">
      <x:c r="A13" s="10" t="str">
        <x:v>9</x:v>
      </x:c>
      <x:c r="B13" s="10" t="str">
        <x:v>PD-VISTA</x:v>
      </x:c>
      <x:c r="C13" s="10" t="str">
        <x:v>计划首轮只提供 VISTA.md；失败后单轮最多披露一个模块</x:v>
      </x:c>
      <x:c r="D13" s="10" t="str">
        <x:v>PD-VISTA披露证据</x:v>
      </x:c>
      <x:c r="E13" s="10" t="str">
        <x:v>计划</x:v>
      </x:c>
      <x:c r="F13" s="10" t="str">
        <x:v>未发生触发、披露或下一轮读取。</x:v>
      </x:c>
    </x:row>
    <x:row r="14">
      <x:c r="A14" s="10" t="str">
        <x:v>10</x:v>
      </x:c>
      <x:c r="B14" s="10" t="str">
        <x:v>正式启动门槛</x:v>
      </x:c>
      <x:c r="C14" s="10" t="str">
        <x:v>未通过：缺失原始失败仓库与完整构建环境</x:v>
      </x:c>
      <x:c r="D14" s="10" t="str">
        <x:v>group-summary.json / posthoc-audit.json</x:v>
      </x:c>
      <x:c r="E14" s="10" t="str">
        <x:v>排除</x:v>
      </x:c>
      <x:c r="F14" s="10" t="str">
        <x:v>不启动模型，避免虚构 task6 结果。</x:v>
      </x:c>
    </x:row>
    <x:row r="17" ht="22" customHeight="1">
      <x:c r="A17" s="16" t="str">
        <x:v>公开诊断、超时、限流和审计规则</x:v>
      </x:c>
      <x:c r="B17" s="16" t="str">
        <x:v>公开诊断、超时、限流和审计规则</x:v>
      </x:c>
      <x:c r="C17" s="16" t="str">
        <x:v>公开诊断、超时、限流和审计规则</x:v>
      </x:c>
      <x:c r="D17" s="16" t="str">
        <x:v>公开诊断、超时、限流和审计规则</x:v>
      </x:c>
      <x:c r="E17" s="16" t="str">
        <x:v>公开诊断、超时、限流和审计规则</x:v>
      </x:c>
      <x:c r="F17" s="16" t="str">
        <x:v>公开诊断、超时、限流和审计规则</x:v>
      </x:c>
    </x:row>
    <x:row r="18">
      <x:c r="A18" s="7" t="str">
        <x:v>规则</x:v>
      </x:c>
      <x:c r="B18" s="7" t="str">
        <x:v>统一设定</x:v>
      </x:c>
      <x:c r="C18" s="7" t="str">
        <x:v>task6 计划</x:v>
      </x:c>
      <x:c r="D18" s="7" t="str">
        <x:v>模型可见内容</x:v>
      </x:c>
      <x:c r="E18" s="7" t="str">
        <x:v>排除内容</x:v>
      </x:c>
      <x:c r="F18" s="7" t="str">
        <x:v>当前记录</x:v>
      </x:c>
    </x:row>
    <x:row r="19">
      <x:c r="A19" s="10" t="str">
        <x:v>最大轮数</x:v>
      </x:c>
      <x:c r="B19" s="10" t="str">
        <x:v>6 轮；单轮 420 秒；Verifier 240 秒</x:v>
      </x:c>
      <x:c r="C19" s="10" t="str">
        <x:v>固定，不因条件改变</x:v>
      </x:c>
      <x:c r="D19" s="10" t="str">
        <x:v>同一公开诊断可继续同一 session</x:v>
      </x:c>
      <x:c r="E19" s="10" t="str">
        <x:v>内部控制器状态</x:v>
      </x:c>
      <x:c r="F19" s="10" t="str">
        <x:v>未启动</x:v>
      </x:c>
    </x:row>
    <x:row r="20">
      <x:c r="A20" s="10" t="str">
        <x:v>公开诊断清洗</x:v>
      </x:c>
      <x:c r="B20" s="10" t="str">
        <x:v>仅保留失败/错误/缺失/断言等安全摘要，路径归一化</x:v>
      </x:c>
      <x:c r="C20" s="10" t="str">
        <x:v>固定规则</x:v>
      </x:c>
      <x:c r="D20" s="10" t="str">
        <x:v>任务失败反馈</x:v>
      </x:c>
      <x:c r="E20" s="10" t="str">
        <x:v>完整内部堆栈、DB、密钥</x:v>
      </x:c>
      <x:c r="F20" s="10" t="str">
        <x:v>未生成</x:v>
      </x:c>
    </x:row>
    <x:row r="21">
      <x:c r="A21" s="10" t="str">
        <x:v>落盘容错</x:v>
      </x:c>
      <x:c r="B21" s="10" t="str">
        <x:v>模型收尾卡住时先验收已落盘文件</x:v>
      </x:c>
      <x:c r="C21" s="10" t="str">
        <x:v>固定</x:v>
      </x:c>
      <x:c r="D21" s="10" t="str">
        <x:v>公开 Verifier 结果</x:v>
      </x:c>
      <x:c r="E21" s="10" t="str">
        <x:v>未公开答案</x:v>
      </x:c>
      <x:c r="F21" s="10" t="str">
        <x:v>未触发</x:v>
      </x:c>
    </x:row>
    <x:row r="22">
      <x:c r="A22" s="10" t="str">
        <x:v>429 / 零请求</x:v>
      </x:c>
      <x:c r="B22" s="10" t="str">
        <x:v>结构化 429 或明确配额才隔离重跑</x:v>
      </x:c>
      <x:c r="C22" s="10" t="str">
        <x:v>串行 fresh workspace/session</x:v>
      </x:c>
      <x:c r="D22" s="10" t="str">
        <x:v>不计任务失败</x:v>
      </x:c>
      <x:c r="E22" s="10" t="str">
        <x:v>普通正文中的 429 数字</x:v>
      </x:c>
      <x:c r="F22" s="10" t="str">
        <x:v>未触发</x:v>
      </x:c>
    </x:row>
    <x:row r="23">
      <x:c r="A23" s="10" t="str">
        <x:v>PD-VISTA 路由</x:v>
      </x:c>
      <x:c r="B23" s="10" t="str">
        <x:v>manifest trigger；每轮最多披露 1 个相关模块</x:v>
      </x:c>
      <x:c r="C23" s="10" t="str">
        <x:v>模块未披露</x:v>
      </x:c>
      <x:c r="D23" s="10" t="str">
        <x:v>根路由与公开诊断</x:v>
      </x:c>
      <x:c r="E23" s="10" t="str">
        <x:v>其他隐藏模块正文</x:v>
      </x:c>
      <x:c r="F23" s="10" t="str">
        <x:v>触发机会 0</x:v>
      </x:c>
    </x:row>
    <x:row r="24">
      <x:c r="A24" s="10" t="str">
        <x:v>数据库审计</x:v>
      </x:c>
      <x:c r="B24" s="10" t="str">
        <x:v>只读查询每个隔离 opencode.db</x:v>
      </x:c>
      <x:c r="C24" s="10" t="str">
        <x:v>正式 session=0</x:v>
      </x:c>
      <x:c r="D24" s="10" t="str">
        <x:v>provider/model/token/cost</x:v>
      </x:c>
      <x:c r="E24" s="10" t="str">
        <x:v>不共享状态</x:v>
      </x:c>
      <x:c r="F24" s="10" t="str">
        <x:v>无 DB</x:v>
      </x:c>
    </x:row>
    <x:row r="25">
      <x:c r="A25" s="10" t="str">
        <x:v>执行路线</x:v>
      </x:c>
      <x:c r="B25" s="10" t="str">
        <x:v>OpenCode 当前配置；Docker=false；SkillBench=false</x:v>
      </x:c>
      <x:c r="C25" s="10" t="str">
        <x:v>只允许本机路线</x:v>
      </x:c>
      <x:c r="D25" s="10" t="str">
        <x:v>当前 provider/model 配置</x:v>
      </x:c>
      <x:c r="E25" s="10" t="str">
        <x:v>平台依赖与容器</x:v>
      </x:c>
      <x:c r="F25" s="10" t="str">
        <x:v>已确认 false</x:v>
      </x:c>
    </x:row>
  </x:sheetData>
  <x:mergeCells>
    <x:mergeCell ref="A1:F1"/>
    <x:mergeCell ref="A3:F3"/>
    <x:mergeCell ref="A17:F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0" hidden="0" customWidth="1"/>
    <x:col min="3" max="3" width="10" hidden="0" customWidth="1"/>
    <x:col min="4" max="4" width="34" hidden="0" customWidth="1"/>
    <x:col min="5" max="5" width="16" hidden="0" customWidth="1"/>
    <x:col min="6" max="6" width="22" hidden="0" customWidth="1"/>
  </x:cols>
  <x:sheetData>
    <x:row r="1" ht="28" customHeight="1">
      <x:c r="A1" s="3" t="str">
        <x:v>三种条件及失败反馈的原始提示词与中文说明（计划，未发送）</x:v>
      </x:c>
      <x:c r="B1" s="3" t="str">
        <x:v>三种条件及失败反馈的原始提示词与中文说明（计划，未发送）</x:v>
      </x:c>
      <x:c r="C1" s="3" t="str">
        <x:v>三种条件及失败反馈的原始提示词与中文说明（计划，未发送）</x:v>
      </x:c>
      <x:c r="D1" s="3" t="str">
        <x:v>三种条件及失败反馈的原始提示词与中文说明（计划，未发送）</x:v>
      </x:c>
      <x:c r="E1" s="3" t="str">
        <x:v>三种条件及失败反馈的原始提示词与中文说明（计划，未发送）</x:v>
      </x:c>
      <x:c r="F1" s="3" t="str">
        <x:v>三种条件及失败反馈的原始提示词与中文说明（计划，未发送）</x:v>
      </x:c>
    </x:row>
    <x:row r="3" ht="22" customHeight="1">
      <x:c r="A3" s="16" t="str">
        <x:v>统一基础任务提示词</x:v>
      </x:c>
      <x:c r="B3" s="16" t="str">
        <x:v>统一基础任务提示词</x:v>
      </x:c>
      <x:c r="C3" s="16" t="str">
        <x:v>统一基础任务提示词</x:v>
      </x:c>
      <x:c r="D3" s="16" t="str">
        <x:v>统一基础任务提示词</x:v>
      </x:c>
      <x:c r="E3" s="16" t="str">
        <x:v>统一基础任务提示词</x:v>
      </x:c>
      <x:c r="F3" s="16" t="str">
        <x:v>统一基础任务提示词</x:v>
      </x:c>
    </x:row>
    <x:row r="4">
      <x:c r="A4" s="7" t="str">
        <x:v>条件</x:v>
      </x:c>
      <x:c r="B4" s="7" t="str">
        <x:v>原始首轮提示词（英文，未发送）</x:v>
      </x:c>
      <x:c r="C4" s="7" t="str">
        <x:v>中文说明</x:v>
      </x:c>
      <x:c r="D4" s="7" t="str">
        <x:v>Skill 可见性</x:v>
      </x:c>
      <x:c r="E4" s="7" t="str">
        <x:v>失败反馈/修复规则</x:v>
      </x:c>
      <x:c r="F4" s="7" t="str">
        <x:v>当前状态</x:v>
      </x:c>
    </x:row>
    <x:row r="5">
      <x:c r="A5" s="10" t="str">
        <x:v>noskill</x:v>
      </x:c>
      <x:c r="B5" s="10" t="str">
        <x:v>Solve the isolated task-006 fix-build-agentops task in this working directory. Work only inside this directory and do not access parent or external directories. Read task.md and follow its three steps: write failed_reasons.txt, create standard patch_*.diff files under the failed repository path, and apply the patches. Use only local task materials; do not fetch data or call Docker, BenchFlow, or SkillBench. The controller runs the complete public verifier after each turn and may return a cleaned public diagnostic for repair. No task Skill is available in this condition; solve from task.md and the local files only.</x:v>
      </x:c>
      <x:c r="C5" s="10" t="str">
        <x:v>No-Skill：零任务 Skill，对照模型仅依赖任务说明与本地材料。</x:v>
      </x:c>
      <x:c r="D5" s="10" t="str">
        <x:v>无</x:v>
      </x:c>
      <x:c r="E5" s="10" t="str">
        <x:v>失败后同一 session 返回清洗后的公开诊断；PD 每轮最多披露 1 个相关模块。</x:v>
      </x:c>
      <x:c r="F5" s="10" t="str">
        <x:v>未发送（readiness 阻断）</x:v>
      </x:c>
    </x:row>
    <x:row r="6">
      <x:c r="A6" s="10" t="str">
        <x:v>native</x:v>
      </x:c>
      <x:c r="B6" s="10" t="str">
        <x:v>Solve the isolated task-006 fix-build-agentops task in this working directory. Work only inside this directory and do not access parent or external directories. Read task.md and follow its three steps: write failed_reasons.txt, create standard patch_*.diff files under the failed repository path, and apply the patches. Use only local task materials; do not fetch data or call Docker, BenchFlow, or SkillBench. The controller runs the complete public verifier after each turn and may return a cleaned public diagnostic for repair. The complete original guidance modules are available under ./modules/&lt;module-id&gt;/SKILL.md; read and use all relevant modules before the first turn.</x:v>
      </x:c>
      <x:c r="C6" s="10" t="str">
        <x:v>Native：首轮前完整提供 analyze-ci、temporal-python-testing、testing-python、uv-package-manager 原始模块。</x:v>
      </x:c>
      <x:c r="D6" s="10" t="str">
        <x:v>4 个原始模块</x:v>
      </x:c>
      <x:c r="E6" s="10" t="str">
        <x:v>失败后同一 session 返回清洗后的公开诊断；PD 每轮最多披露 1 个相关模块。</x:v>
      </x:c>
      <x:c r="F6" s="10" t="str">
        <x:v>未发送（readiness 阻断）</x:v>
      </x:c>
    </x:row>
    <x:row r="7">
      <x:c r="A7" s="10" t="str">
        <x:v>pd-vista</x:v>
      </x:c>
      <x:c r="B7" s="10" t="str">
        <x:v>Solve the isolated task-006 fix-build-agentops task in this working directory. Work only inside this directory and do not access parent or external directories. Read task.md and follow its three steps: write failed_reasons.txt, create standard patch_*.diff files under the failed repository path, and apply the patches. Use only local task materials; do not fetch data or call Docker, BenchFlow, or SkillBench. The controller runs the complete public verifier after each turn and may return a cleaned public diagnostic for repair. Read VISTA.md. Original guidance modules are initially hidden; after a public verifier failure, VISTA may disclose at most one relevant module under ./modules/&lt;module-id&gt;/SKILL.md. Read any disclosed module before the next repair turn.</x:v>
      </x:c>
      <x:c r="C7" s="10" t="str">
        <x:v>PD-VISTA：首轮只提供根路由；公开失败后按 manifest 单轮最多披露一个相关模块，并审计下一轮实际读取。</x:v>
      </x:c>
      <x:c r="D7" s="10" t="str">
        <x:v>VISTA.md 根路由</x:v>
      </x:c>
      <x:c r="E7" s="10" t="str">
        <x:v>失败后同一 session 返回清洗后的公开诊断；PD 每轮最多披露 1 个相关模块。</x:v>
      </x:c>
      <x:c r="F7" s="10" t="str">
        <x:v>未发送（readiness 阻断）</x:v>
      </x:c>
    </x:row>
    <x:row r="10" ht="22" customHeight="1">
      <x:c r="A10" s="16" t="str">
        <x:v>task.md 原始任务文本与中文说明</x:v>
      </x:c>
      <x:c r="B10" s="16" t="str">
        <x:v>task.md 原始任务文本与中文说明</x:v>
      </x:c>
      <x:c r="C10" s="16" t="str">
        <x:v>task.md 原始任务文本与中文说明</x:v>
      </x:c>
      <x:c r="D10" s="16" t="str">
        <x:v>task.md 原始任务文本与中文说明</x:v>
      </x:c>
      <x:c r="E10" s="16" t="str">
        <x:v>task.md 原始任务文本与中文说明</x:v>
      </x:c>
      <x:c r="F10" s="16" t="str">
        <x:v>task.md 原始任务文本与中文说明</x:v>
      </x:c>
    </x:row>
    <x:row r="11">
      <x:c r="A11" s="7" t="str">
        <x:v>来源</x:v>
      </x:c>
      <x:c r="B11" s="7" t="str">
        <x:v>原始文本（英文）</x:v>
      </x:c>
      <x:c r="C11" s="7" t="str">
        <x:v>中文说明</x:v>
      </x:c>
      <x:c r="D11" s="7" t="str">
        <x:v>适配约束</x:v>
      </x:c>
      <x:c r="E11" s="7" t="str">
        <x:v>执行入口</x:v>
      </x:c>
      <x:c r="F11" s="7" t="str">
        <x:v>状态</x:v>
      </x:c>
    </x:row>
    <x:row r="12">
      <x:c r="A12" s="10" t="str">
        <x:v>task.md</x:v>
      </x:c>
      <x:c r="B12" s="10" t="str">
        <x:v>You need to fix errors in a Python codebase. The repository is located in /home/github/build/failed/&lt;repo&gt;/&lt;id&gt;. Step 1: analyze the repository and write the analysis and plan in /home/github/build/failed/failed_reasons.txt. Step 2: write standard unified patch files at /home/github/build/failed/&lt;repo&gt;/&lt;id&gt;/patch_{i}.diff. Step 3: apply your changes.</x:v>
      </x:c>
      <x:c r="C12" s="10" t="str">
        <x:v>修复 Python 代码库构建错误；先写失败原因，再生成并应用 unified diff。</x:v>
      </x:c>
      <x:c r="D12" s="10" t="str">
        <x:v>原始路径依赖 BugSwarm 工作区，本机未重写为合成路径。</x:v>
      </x:c>
      <x:c r="E12" s="10" t="str">
        <x:v>vendor/.../verifier/test_outputs.py</x:v>
      </x:c>
      <x:c r="F12" s="10" t="str">
        <x:v>材料缺失</x:v>
      </x:c>
    </x:row>
    <x:row r="13">
      <x:c r="A13" s="10" t="str">
        <x:v>Verifier</x:v>
      </x:c>
      <x:c r="B13" s="10" t="str">
        <x:v>The public verifier checks failed_reasons.txt, valid patch_*.diff files, and runs run_passed.sh in the copied passed repository.</x:v>
      </x:c>
      <x:c r="C13" s="10" t="str">
        <x:v>Verifier 检查说明文件、合法补丁并运行通过构建脚本。</x:v>
      </x:c>
      <x:c r="D13" s="10" t="str">
        <x:v>完整运行需 /home/github/build 与 run_passed.sh 的 BugSwarm 环境。</x:v>
      </x:c>
      <x:c r="E13" s="10" t="str">
        <x:v>pytest --collect-only</x:v>
      </x:c>
      <x:c r="F13" s="10" t="str">
        <x:v>收集通过</x:v>
      </x:c>
    </x:row>
    <x:row r="14">
      <x:c r="A14" s="10" t="str">
        <x:v>controller</x:v>
      </x:c>
      <x:c r="B14" s="10" t="str">
        <x:v>The controller would run the complete public verifier after each turn and return a cleaned public diagnostic if repair is needed.</x:v>
      </x:c>
      <x:c r="C14" s="10" t="str">
        <x:v>控制器统一执行 Verifier，失败后回传清洗诊断。</x:v>
      </x:c>
      <x:c r="D14" s="10" t="str">
        <x:v>本批次未发送模型请求，因此无实际诊断。</x:v>
      </x:c>
      <x:c r="E14" s="10" t="str">
        <x:v>task6 专属运行器</x:v>
      </x:c>
      <x:c r="F14" s="10" t="str">
        <x:v>未启动</x:v>
      </x:c>
    </x:row>
    <x:row r="17" ht="22" customHeight="1">
      <x:c r="A17" s="16" t="str">
        <x:v>原始 Skill 模块清单</x:v>
      </x:c>
      <x:c r="B17" s="16" t="str">
        <x:v>原始 Skill 模块清单</x:v>
      </x:c>
      <x:c r="C17" s="16" t="str">
        <x:v>原始 Skill 模块清单</x:v>
      </x:c>
      <x:c r="D17" s="16" t="str">
        <x:v>原始 Skill 模块清单</x:v>
      </x:c>
      <x:c r="E17" s="16" t="str">
        <x:v>原始 Skill 模块清单</x:v>
      </x:c>
      <x:c r="F17" s="16" t="str">
        <x:v>原始 Skill 模块清单</x:v>
      </x:c>
    </x:row>
    <x:row r="18">
      <x:c r="A18" s="7" t="str">
        <x:v>模块 ID</x:v>
      </x:c>
      <x:c r="B18" s="7" t="str">
        <x:v>原始路径</x:v>
      </x:c>
      <x:c r="C18" s="7" t="str">
        <x:v>文件数</x:v>
      </x:c>
      <x:c r="D18" s="7" t="str">
        <x:v>触发类型</x:v>
      </x:c>
      <x:c r="E18" s="7" t="str">
        <x:v>Native</x:v>
      </x:c>
      <x:c r="F18" s="7" t="str">
        <x:v>PD-VISTA</x:v>
      </x:c>
    </x:row>
    <x:row r="19">
      <x:c r="A19" s="10" t="str">
        <x:v>analyze-ci</x:v>
      </x:c>
      <x:c r="B19" s="10" t="str">
        <x:v>/Users/wangjinhua/Downloads/vista-travel-macos-handoff-20260819-192318/vendor/skillsbench/tasks/fix-build-agentops/environment/skills/analyze-ci</x:v>
      </x:c>
      <x:c r="C19" s="10" t="n">
        <x:v>1</x:v>
      </x:c>
      <x:c r="D19" s="10" t="str">
        <x:v>compilation_error / runtime_error</x:v>
      </x:c>
      <x:c r="E19" s="10" t="str">
        <x:v>首轮可见</x:v>
      </x:c>
      <x:c r="F19" s="10" t="str">
        <x:v>失败后按路由披露</x:v>
      </x:c>
    </x:row>
    <x:row r="20">
      <x:c r="A20" s="10" t="str">
        <x:v>temporal-python-testing</x:v>
      </x:c>
      <x:c r="B20" s="10" t="str">
        <x:v>/Users/wangjinhua/Downloads/vista-travel-macos-handoff-20260819-192318/vendor/skillsbench/tasks/fix-build-agentops/environment/skills/temporal-python-testing</x:v>
      </x:c>
      <x:c r="C20" s="10" t="n">
        <x:v>5</x:v>
      </x:c>
      <x:c r="D20" s="10" t="str">
        <x:v>timeout / repeated_failure</x:v>
      </x:c>
      <x:c r="E20" s="10" t="str">
        <x:v>首轮可见</x:v>
      </x:c>
      <x:c r="F20" s="10" t="str">
        <x:v>失败后按路由披露</x:v>
      </x:c>
    </x:row>
    <x:row r="21">
      <x:c r="A21" s="10" t="str">
        <x:v>testing-python</x:v>
      </x:c>
      <x:c r="B21" s="10" t="str">
        <x:v>/Users/wangjinhua/Downloads/vista-travel-macos-handoff-20260819-192318/vendor/skillsbench/tasks/fix-build-agentops/environment/skills/testing-python</x:v>
      </x:c>
      <x:c r="C21" s="10" t="n">
        <x:v>1</x:v>
      </x:c>
      <x:c r="D21" s="10" t="str">
        <x:v>test_failure / assertion_error</x:v>
      </x:c>
      <x:c r="E21" s="10" t="str">
        <x:v>首轮可见</x:v>
      </x:c>
      <x:c r="F21" s="10" t="str">
        <x:v>失败后按路由披露</x:v>
      </x:c>
    </x:row>
    <x:row r="22">
      <x:c r="A22" s="10" t="str">
        <x:v>uv-package-manager</x:v>
      </x:c>
      <x:c r="B22" s="10" t="str">
        <x:v>/Users/wangjinhua/Downloads/vista-travel-macos-handoff-20260819-192318/vendor/skillsbench/tasks/fix-build-agentops/environment/skills/uv-package-manager</x:v>
      </x:c>
      <x:c r="C22" s="10" t="n">
        <x:v>1</x:v>
      </x:c>
      <x:c r="D22" s="10" t="str">
        <x:v>dependency_error / command_failure</x:v>
      </x:c>
      <x:c r="E22" s="10" t="str">
        <x:v>首轮可见</x:v>
      </x:c>
      <x:c r="F22" s="10" t="str">
        <x:v>失败后按路由披露</x:v>
      </x:c>
    </x:row>
  </x:sheetData>
  <x:mergeCells>
    <x:mergeCell ref="A1:F1"/>
    <x:mergeCell ref="A3:F3"/>
    <x:mergeCell ref="A10:F10"/>
    <x:mergeCell ref="A17:F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6" hidden="0" customWidth="1"/>
    <x:col min="4" max="4" width="34" hidden="0" customWidth="1"/>
    <x:col min="5" max="5" width="18" hidden="0" customWidth="1"/>
    <x:col min="6" max="6" width="34" hidden="0" customWidth="1"/>
    <x:col min="7" max="7" width="12" hidden="0" customWidth="1"/>
    <x:col min="8" max="8" width="18" hidden="0" customWidth="1"/>
    <x:col min="9" max="9" width="18" hidden="0" customWidth="1"/>
    <x:col min="10" max="10" width="16" hidden="0" customWidth="1"/>
  </x:cols>
  <x:sheetData>
    <x:row r="1" ht="28" customHeight="1">
      <x:c r="A1" s="3" t="str">
        <x:v>PD-VISTA 披露证据（正式批次未启动）</x:v>
      </x:c>
      <x:c r="B1" s="3" t="str">
        <x:v>PD-VISTA 披露证据（正式批次未启动）</x:v>
      </x:c>
      <x:c r="C1" s="3" t="str">
        <x:v>PD-VISTA 披露证据（正式批次未启动）</x:v>
      </x:c>
      <x:c r="D1" s="3" t="str">
        <x:v>PD-VISTA 披露证据（正式批次未启动）</x:v>
      </x:c>
      <x:c r="E1" s="3" t="str">
        <x:v>PD-VISTA 披露证据（正式批次未启动）</x:v>
      </x:c>
      <x:c r="F1" s="3" t="str">
        <x:v>PD-VISTA 披露证据（正式批次未启动）</x:v>
      </x:c>
      <x:c r="G1" s="3" t="str">
        <x:v>PD-VISTA 披露证据（正式批次未启动）</x:v>
      </x:c>
      <x:c r="H1" s="3" t="str">
        <x:v>PD-VISTA 披露证据（正式批次未启动）</x:v>
      </x:c>
      <x:c r="I1" s="3" t="str">
        <x:v>PD-VISTA 披露证据（正式批次未启动）</x:v>
      </x:c>
      <x:c r="J1" s="3" t="str">
        <x:v>PD-VISTA 披露证据（正式批次未启动）</x:v>
      </x:c>
    </x:row>
    <x:row r="3" ht="22" customHeight="1">
      <x:c r="A3" s="16" t="str">
        <x:v>触发—披露—下一轮访问—闭环审计</x:v>
      </x:c>
      <x:c r="B3" s="16" t="str">
        <x:v>触发—披露—下一轮访问—闭环审计</x:v>
      </x:c>
      <x:c r="C3" s="16" t="str">
        <x:v>触发—披露—下一轮访问—闭环审计</x:v>
      </x:c>
      <x:c r="D3" s="16" t="str">
        <x:v>触发—披露—下一轮访问—闭环审计</x:v>
      </x:c>
      <x:c r="E3" s="16" t="str">
        <x:v>触发—披露—下一轮访问—闭环审计</x:v>
      </x:c>
      <x:c r="F3" s="16" t="str">
        <x:v>触发—披露—下一轮访问—闭环审计</x:v>
      </x:c>
      <x:c r="G3" s="16" t="str">
        <x:v>触发—披露—下一轮访问—闭环审计</x:v>
      </x:c>
      <x:c r="H3" s="16" t="str">
        <x:v>触发—披露—下一轮访问—闭环审计</x:v>
      </x:c>
      <x:c r="I3" s="16" t="str">
        <x:v>触发—披露—下一轮访问—闭环审计</x:v>
      </x:c>
      <x:c r="J3" s="16" t="str">
        <x:v>触发—披露—下一轮访问—闭环审计</x:v>
      </x:c>
    </x:row>
    <x:row r="4">
      <x:c r="A4" s="7" t="str">
        <x:v>组ID</x:v>
      </x:c>
      <x:c r="B4" s="7" t="str">
        <x:v>重复</x:v>
      </x:c>
      <x:c r="C4" s="7" t="str">
        <x:v>首轮结果</x:v>
      </x:c>
      <x:c r="D4" s="7" t="str">
        <x:v>触发机会</x:v>
      </x:c>
      <x:c r="E4" s="7" t="str">
        <x:v>可路由反馈</x:v>
      </x:c>
      <x:c r="F4" s="7" t="str">
        <x:v>披露模块</x:v>
      </x:c>
      <x:c r="G4" s="7" t="str">
        <x:v>下一轮实际访问</x:v>
      </x:c>
      <x:c r="H4" s="7" t="str">
        <x:v>干净闭环</x:v>
      </x:c>
      <x:c r="I4" s="7" t="str">
        <x:v>最终结果</x:v>
      </x:c>
      <x:c r="J4" s="7" t="str">
        <x:v>证据/原因</x:v>
      </x:c>
    </x:row>
    <x:row r="5">
      <x:c r="A5" s="10" t="str">
        <x:v>pd-vista-01</x:v>
      </x:c>
      <x:c r="B5" s="10" t="n">
        <x:v>1</x:v>
      </x:c>
      <x:c r="C5" s="11" t="str">
        <x:v>未启动</x:v>
      </x:c>
      <x:c r="D5" s="11" t="n">
        <x:v>0</x:v>
      </x:c>
      <x:c r="E5" s="11" t="n">
        <x:v>0</x:v>
      </x:c>
      <x:c r="F5" s="11" t="str">
        <x:v>无</x:v>
      </x:c>
      <x:c r="G5" s="11" t="str">
        <x:v>无</x:v>
      </x:c>
      <x:c r="H5" s="11" t="n">
        <x:v>0</x:v>
      </x:c>
      <x:c r="I5" s="11" t="str">
        <x:v>未执行</x:v>
      </x:c>
      <x:c r="J5" s="11" t="str">
        <x:v>未执行：task-006 缺失 BugSwarm 失败仓库与 /home/github 构建环境</x:v>
      </x:c>
    </x:row>
    <x:row r="6">
      <x:c r="A6" s="10" t="str">
        <x:v>pd-vista-02</x:v>
      </x:c>
      <x:c r="B6" s="10" t="n">
        <x:v>2</x:v>
      </x:c>
      <x:c r="C6" s="11" t="str">
        <x:v>未启动</x:v>
      </x:c>
      <x:c r="D6" s="11" t="n">
        <x:v>0</x:v>
      </x:c>
      <x:c r="E6" s="11" t="n">
        <x:v>0</x:v>
      </x:c>
      <x:c r="F6" s="11" t="str">
        <x:v>无</x:v>
      </x:c>
      <x:c r="G6" s="11" t="str">
        <x:v>无</x:v>
      </x:c>
      <x:c r="H6" s="11" t="n">
        <x:v>0</x:v>
      </x:c>
      <x:c r="I6" s="11" t="str">
        <x:v>未执行</x:v>
      </x:c>
      <x:c r="J6" s="11" t="str">
        <x:v>未执行：task-006 缺失 BugSwarm 失败仓库与 /home/github 构建环境</x:v>
      </x:c>
    </x:row>
    <x:row r="7">
      <x:c r="A7" s="10" t="str">
        <x:v>pd-vista-03</x:v>
      </x:c>
      <x:c r="B7" s="10" t="n">
        <x:v>3</x:v>
      </x:c>
      <x:c r="C7" s="11" t="str">
        <x:v>未启动</x:v>
      </x:c>
      <x:c r="D7" s="11" t="n">
        <x:v>0</x:v>
      </x:c>
      <x:c r="E7" s="11" t="n">
        <x:v>0</x:v>
      </x:c>
      <x:c r="F7" s="11" t="str">
        <x:v>无</x:v>
      </x:c>
      <x:c r="G7" s="11" t="str">
        <x:v>无</x:v>
      </x:c>
      <x:c r="H7" s="11" t="n">
        <x:v>0</x:v>
      </x:c>
      <x:c r="I7" s="11" t="str">
        <x:v>未执行</x:v>
      </x:c>
      <x:c r="J7" s="11" t="str">
        <x:v>未执行：task-006 缺失 BugSwarm 失败仓库与 /home/github 构建环境</x:v>
      </x:c>
    </x:row>
    <x:row r="10" ht="22" customHeight="1">
      <x:c r="A10" s="16" t="str">
        <x:v>PD 根路由协议</x:v>
      </x:c>
      <x:c r="B10" s="16" t="str">
        <x:v>PD 根路由协议</x:v>
      </x:c>
      <x:c r="C10" s="16" t="str">
        <x:v>PD 根路由协议</x:v>
      </x:c>
      <x:c r="D10" s="16" t="str">
        <x:v>PD 根路由协议</x:v>
      </x:c>
      <x:c r="E10" s="16" t="str">
        <x:v>PD 根路由协议</x:v>
      </x:c>
      <x:c r="F10" s="16" t="str">
        <x:v>PD 根路由协议</x:v>
      </x:c>
      <x:c r="G10" s="16" t="str">
        <x:v>PD 根路由协议</x:v>
      </x:c>
      <x:c r="H10" s="16" t="str">
        <x:v>PD 根路由协议</x:v>
      </x:c>
      <x:c r="I10" s="16" t="str">
        <x:v>PD 根路由协议</x:v>
      </x:c>
      <x:c r="J10" s="16" t="str">
        <x:v>PD 根路由协议</x:v>
      </x:c>
    </x:row>
    <x:row r="11">
      <x:c r="A11" s="7" t="str">
        <x:v>项目</x:v>
      </x:c>
      <x:c r="B11" s="7" t="str">
        <x:v>路径</x:v>
      </x:c>
      <x:c r="C11" s="7" t="str">
        <x:v>首轮状态</x:v>
      </x:c>
      <x:c r="D11" s="7" t="str">
        <x:v>触发条件</x:v>
      </x:c>
      <x:c r="E11" s="7" t="str">
        <x:v>单轮披露上限</x:v>
      </x:c>
      <x:c r="F11" s="7" t="str">
        <x:v>下一轮审计</x:v>
      </x:c>
      <x:c r="G11" s="7" t="str">
        <x:v>当前机会</x:v>
      </x:c>
      <x:c r="H11" s="7" t="str">
        <x:v>当前披露</x:v>
      </x:c>
      <x:c r="I11" s="7" t="str">
        <x:v>当前访问</x:v>
      </x:c>
      <x:c r="J11" s="7" t="str">
        <x:v>当前闭环</x:v>
      </x:c>
    </x:row>
    <x:row r="12">
      <x:c r="A12" s="10" t="str">
        <x:v>根路由</x:v>
      </x:c>
      <x:c r="B12" s="10" t="str">
        <x:v>/Users/wangjinhua/Downloads/vista-travel-macos-handoff-20260819-192318/skills/pd-vista/task-006/SKILL.md</x:v>
      </x:c>
      <x:c r="C12" s="10" t="str">
        <x:v>计划可见</x:v>
      </x:c>
      <x:c r="D12" s="10" t="str">
        <x:v>公开编译/测试/依赖/超时失败</x:v>
      </x:c>
      <x:c r="E12" s="10" t="str">
        <x:v>1 个相关模块</x:v>
      </x:c>
      <x:c r="F12" s="10" t="str">
        <x:v>检查下一轮实际读取</x:v>
      </x:c>
      <x:c r="G12" s="10" t="n">
        <x:v>0</x:v>
      </x:c>
      <x:c r="H12" s="10" t="str">
        <x:v>无</x:v>
      </x:c>
      <x:c r="I12" s="10" t="str">
        <x:v>无</x:v>
      </x:c>
      <x:c r="J12" s="10" t="n">
        <x:v>0</x:v>
      </x:c>
    </x:row>
    <x:row r="13">
      <x:c r="A13" s="10" t="str">
        <x:v>manifest</x:v>
      </x:c>
      <x:c r="B13" s="10" t="str">
        <x:v>/Users/wangjinhua/Downloads/vista-travel-macos-handoff-20260819-192318/skills/pd-vista/task-006/manifest.yaml</x:v>
      </x:c>
      <x:c r="C13" s="10" t="str">
        <x:v>计划可见</x:v>
      </x:c>
      <x:c r="D13" s="10" t="str">
        <x:v>4 类反馈触发器</x:v>
      </x:c>
      <x:c r="E13" s="10" t="str">
        <x:v>1 个相关模块</x:v>
      </x:c>
      <x:c r="F13" s="10" t="str">
        <x:v>route decision + JSONL 读取证据</x:v>
      </x:c>
      <x:c r="G13" s="10" t="n">
        <x:v>0</x:v>
      </x:c>
      <x:c r="H13" s="10" t="str">
        <x:v>无</x:v>
      </x:c>
      <x:c r="I13" s="10" t="str">
        <x:v>无</x:v>
      </x:c>
      <x:c r="J13" s="10" t="n">
        <x:v>0</x:v>
      </x:c>
    </x:row>
  </x:sheetData>
  <x:mergeCells>
    <x:mergeCell ref="A1:J1"/>
    <x:mergeCell ref="A3:J3"/>
    <x:mergeCell ref="A10:J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6" hidden="0" customWidth="1"/>
    <x:col min="3" max="3" width="48" hidden="0" customWidth="1"/>
    <x:col min="4" max="4" width="34" hidden="0" customWidth="1"/>
    <x:col min="5" max="5" width="16" hidden="0" customWidth="1"/>
    <x:col min="6" max="6" width="48" hidden="0" customWidth="1"/>
  </x:cols>
  <x:sheetData>
    <x:row r="1" ht="28" customHeight="1">
      <x:c r="A1" s="3" t="str">
        <x:v>字段映射与可审计来源（task6 readiness）</x:v>
      </x:c>
      <x:c r="B1" s="3" t="str">
        <x:v>字段映射与可审计来源（task6 readiness）</x:v>
      </x:c>
      <x:c r="C1" s="3" t="str">
        <x:v>字段映射与可审计来源（task6 readiness）</x:v>
      </x:c>
      <x:c r="D1" s="3" t="str">
        <x:v>字段映射与可审计来源（task6 readiness）</x:v>
      </x:c>
      <x:c r="E1" s="3" t="str">
        <x:v>字段映射与可审计来源（task6 readiness）</x:v>
      </x:c>
      <x:c r="F1" s="3" t="str">
        <x:v>字段映射与可审计来源（task6 readiness）</x:v>
      </x:c>
    </x:row>
    <x:row r="3">
      <x:c r="A3" s="7" t="str">
        <x:v>工作簿字段</x:v>
      </x:c>
      <x:c r="B3" s="7" t="str">
        <x:v>来源 JSON / 文件</x:v>
      </x:c>
      <x:c r="C3" s="7" t="str">
        <x:v>公式或填充规则</x:v>
      </x:c>
      <x:c r="D3" s="7" t="str">
        <x:v>审计用途</x:v>
      </x:c>
      <x:c r="E3" s="7" t="str">
        <x:v>类型</x:v>
      </x:c>
      <x:c r="F3" s="7" t="str">
        <x:v>备注</x:v>
      </x:c>
    </x:row>
    <x:row r="4">
      <x:c r="A4" s="10" t="str">
        <x:v>批次</x:v>
      </x:c>
      <x:c r="B4" s="10" t="str">
        <x:v>readiness.run_id / group-summary.run_id</x:v>
      </x:c>
      <x:c r="C4" s="10" t="str">
        <x:v>固定诊断批次 ID</x:v>
      </x:c>
      <x:c r="D4" s="10" t="str">
        <x:v>批次唯一性</x:v>
      </x:c>
      <x:c r="E4" s="10" t="str">
        <x:v>文本</x:v>
      </x:c>
      <x:c r="F4" s="10" t="str">
        <x:v>formal-task006-local-3x3-minimaxm3-20260824-03-readiness-final</x:v>
      </x:c>
    </x:row>
    <x:row r="5">
      <x:c r="A5" s="10" t="str">
        <x:v>任务身份</x:v>
      </x:c>
      <x:c r="B5" s="10" t="str">
        <x:v>tasks/pilot/task-006/task.yaml</x:v>
      </x:c>
      <x:c r="C5" s="10" t="str">
        <x:v>task_id + source.benchmark_task_id</x:v>
      </x:c>
      <x:c r="D5" s="10" t="str">
        <x:v>独立身份确认</x:v>
      </x:c>
      <x:c r="E5" s="10" t="str">
        <x:v>文本</x:v>
      </x:c>
      <x:c r="F5" s="10" t="str">
        <x:v>task-006 / fix-build-agentops</x:v>
      </x:c>
    </x:row>
    <x:row r="6">
      <x:c r="A6" s="10" t="str">
        <x:v>计划组ID</x:v>
      </x:c>
      <x:c r="B6" s="10" t="str">
        <x:v>schedule + condition + replicate</x:v>
      </x:c>
      <x:c r="C6" s="10" t="str">
        <x:v>条件-两位重复编号</x:v>
      </x:c>
      <x:c r="D6" s="10" t="str">
        <x:v>9 组平衡矩阵</x:v>
      </x:c>
      <x:c r="E6" s="10" t="str">
        <x:v>文本</x:v>
      </x:c>
      <x:c r="F6" s="10" t="str">
        <x:v>只写计划，不表示已执行</x:v>
      </x:c>
    </x:row>
    <x:row r="7">
      <x:c r="A7" s="10" t="str">
        <x:v>状态</x:v>
      </x:c>
      <x:c r="B7" s="10" t="str">
        <x:v>readiness.direct_execution_ready</x:v>
      </x:c>
      <x:c r="C7" s="10" t="str">
        <x:v>固定为未执行（就绪阻断）</x:v>
      </x:c>
      <x:c r="D7" s="10" t="str">
        <x:v>防止把诊断当正式结果</x:v>
      </x:c>
      <x:c r="E7" s="10" t="str">
        <x:v>文本</x:v>
      </x:c>
      <x:c r="F7" s="10" t="str">
        <x:v>正式统计 0 组</x:v>
      </x:c>
    </x:row>
    <x:row r="8">
      <x:c r="A8" s="10" t="str">
        <x:v>最终Verifier</x:v>
      </x:c>
      <x:c r="B8" s="10" t="str">
        <x:v>verifier.collect / full_verifier_ready</x:v>
      </x:c>
      <x:c r="C8" s="10" t="str">
        <x:v>收集通过；完整运行 false</x:v>
      </x:c>
      <x:c r="D8" s="10" t="str">
        <x:v>入口与完整性区分</x:v>
      </x:c>
      <x:c r="E8" s="10" t="str">
        <x:v>文本</x:v>
      </x:c>
      <x:c r="F8" s="10" t="str">
        <x:v>3 tests collected</x:v>
      </x:c>
    </x:row>
    <x:row r="9">
      <x:c r="A9" s="10" t="str">
        <x:v>Session ID</x:v>
      </x:c>
      <x:c r="B9" s="10" t="str">
        <x:v>posthoc-audit.formal_trials[].session_id</x:v>
      </x:c>
      <x:c r="C9" s="10" t="str">
        <x:v>空值；未启动模型</x:v>
      </x:c>
      <x:c r="D9" s="10" t="str">
        <x:v>独立会话审计</x:v>
      </x:c>
      <x:c r="E9" s="10" t="str">
        <x:v>文本</x:v>
      </x:c>
      <x:c r="F9" s="10" t="str">
        <x:v>0 个 session</x:v>
      </x:c>
    </x:row>
    <x:row r="10">
      <x:c r="A10" s="10" t="str">
        <x:v>输入/输出/缓存 Token</x:v>
      </x:c>
      <x:c r="B10" s="10" t="str">
        <x:v>posthoc-audit.usage_totals</x:v>
      </x:c>
      <x:c r="C10" s="10" t="str">
        <x:v>逐组 0；汇总 SUM</x:v>
      </x:c>
      <x:c r="D10" s="10" t="str">
        <x:v>消耗审计</x:v>
      </x:c>
      <x:c r="E10" s="10" t="str">
        <x:v>数值</x:v>
      </x:c>
      <x:c r="F10" s="10" t="str">
        <x:v>未发生请求</x:v>
      </x:c>
    </x:row>
    <x:row r="11">
      <x:c r="A11" s="10" t="str">
        <x:v>输入+输出 Token</x:v>
      </x:c>
      <x:c r="B11" s="10" t="str">
        <x:v>9组明细 K/L</x:v>
      </x:c>
      <x:c r="C11" s="10" t="str">
        <x:v>N 列 = K+L</x:v>
      </x:c>
      <x:c r="D11" s="10" t="str">
        <x:v>可复算新鲜 Token</x:v>
      </x:c>
      <x:c r="E11" s="10" t="str">
        <x:v>公式</x:v>
      </x:c>
      <x:c r="F11" s="10" t="str">
        <x:v>不硬编码汇总</x:v>
      </x:c>
    </x:row>
    <x:row r="12">
      <x:c r="A12" s="10" t="str">
        <x:v>记录费用</x:v>
      </x:c>
      <x:c r="B12" s="10" t="str">
        <x:v>posthoc-audit.usage_totals.recorded_cost_usd</x:v>
      </x:c>
      <x:c r="C12" s="10" t="str">
        <x:v>逐组 0；汇总 SUM</x:v>
      </x:c>
      <x:c r="D12" s="10" t="str">
        <x:v>OpenCode 记录费用</x:v>
      </x:c>
      <x:c r="E12" s="10" t="str">
        <x:v>数值</x:v>
      </x:c>
      <x:c r="F12" s="10" t="str">
        <x:v>无 DB</x:v>
      </x:c>
    </x:row>
    <x:row r="13">
      <x:c r="A13" s="10" t="str">
        <x:v>Provider / Model</x:v>
      </x:c>
      <x:c r="B13" s="10" t="str">
        <x:v>readiness.opencode_config.requested_provider_model</x:v>
      </x:c>
      <x:c r="C13" s="10" t="str">
        <x:v>当前配置读取</x:v>
      </x:c>
      <x:c r="D13" s="10" t="str">
        <x:v>模型身份</x:v>
      </x:c>
      <x:c r="E13" s="10" t="str">
        <x:v>文本</x:v>
      </x:c>
      <x:c r="F13" s="10" t="str">
        <x:v>minimax-cn / MiniMax-M3</x:v>
      </x:c>
    </x:row>
    <x:row r="14">
      <x:c r="A14" s="10" t="str">
        <x:v>PD 触发机会</x:v>
      </x:c>
      <x:c r="B14" s="10" t="str">
        <x:v>PD-VISTA 披露证据</x:v>
      </x:c>
      <x:c r="C14" s="10" t="str">
        <x:v>0；无正式轮次</x:v>
      </x:c>
      <x:c r="D14" s="10" t="str">
        <x:v>披露机会审计</x:v>
      </x:c>
      <x:c r="E14" s="10" t="str">
        <x:v>数值</x:v>
      </x:c>
      <x:c r="F14" s="10" t="str">
        <x:v>未触发</x:v>
      </x:c>
    </x:row>
    <x:row r="15">
      <x:c r="A15" s="10" t="str">
        <x:v>披露模块</x:v>
      </x:c>
      <x:c r="B15" s="10" t="str">
        <x:v>PD-VISTA manifest + event log</x:v>
      </x:c>
      <x:c r="C15" s="10" t="str">
        <x:v>无；未启动</x:v>
      </x:c>
      <x:c r="D15" s="10" t="str">
        <x:v>模块披露审计</x:v>
      </x:c>
      <x:c r="E15" s="10" t="str">
        <x:v>文本</x:v>
      </x:c>
      <x:c r="F15" s="10" t="str">
        <x:v>计划单轮最多 1 个</x:v>
      </x:c>
    </x:row>
    <x:row r="16">
      <x:c r="A16" s="10" t="str">
        <x:v>下一轮实际访问</x:v>
      </x:c>
      <x:c r="B16" s="10" t="str">
        <x:v>PD-VISTA event log</x:v>
      </x:c>
      <x:c r="C16" s="10" t="str">
        <x:v>无；未启动</x:v>
      </x:c>
      <x:c r="D16" s="10" t="str">
        <x:v>防止只披露不读取</x:v>
      </x:c>
      <x:c r="E16" s="10" t="str">
        <x:v>文本</x:v>
      </x:c>
      <x:c r="F16" s="10" t="str">
        <x:v>未触发</x:v>
      </x:c>
    </x:row>
    <x:row r="17">
      <x:c r="A17" s="10" t="str">
        <x:v>干净闭环</x:v>
      </x:c>
      <x:c r="B17" s="10" t="str">
        <x:v>PD-VISTA event log + final verifier</x:v>
      </x:c>
      <x:c r="C17" s="10" t="str">
        <x:v>0；未启动</x:v>
      </x:c>
      <x:c r="D17" s="10" t="str">
        <x:v>披露质量检查</x:v>
      </x:c>
      <x:c r="E17" s="10" t="str">
        <x:v>数值</x:v>
      </x:c>
      <x:c r="F17" s="10" t="str">
        <x:v>未触发</x:v>
      </x:c>
    </x:row>
    <x:row r="18">
      <x:c r="A18" s="10" t="str">
        <x:v>Docker</x:v>
      </x:c>
      <x:c r="B18" s="10" t="str">
        <x:v>group-summary.docker_used</x:v>
      </x:c>
      <x:c r="C18" s="10" t="str">
        <x:v>固定 false</x:v>
      </x:c>
      <x:c r="D18" s="10" t="str">
        <x:v>路线约束</x:v>
      </x:c>
      <x:c r="E18" s="10" t="str">
        <x:v>布尔</x:v>
      </x:c>
      <x:c r="F18" s="10" t="str">
        <x:v>未使用</x:v>
      </x:c>
    </x:row>
    <x:row r="19">
      <x:c r="A19" s="10" t="str">
        <x:v>SkillBench 路线</x:v>
      </x:c>
      <x:c r="B19" s="10" t="str">
        <x:v>group-summary.skillbench_execution_route_used</x:v>
      </x:c>
      <x:c r="C19" s="10" t="str">
        <x:v>固定 false</x:v>
      </x:c>
      <x:c r="D19" s="10" t="str">
        <x:v>路线约束</x:v>
      </x:c>
      <x:c r="E19" s="10" t="str">
        <x:v>布尔</x:v>
      </x:c>
      <x:c r="F19" s="10" t="str">
        <x:v>未使用</x:v>
      </x:c>
    </x:row>
    <x:row r="20">
      <x:c r="A20" s="10" t="str">
        <x:v>排除原因</x:v>
      </x:c>
      <x:c r="B20" s="10" t="str">
        <x:v>readiness.readiness_reasons</x:v>
      </x:c>
      <x:c r="C20" s="10" t="str">
        <x:v>原样列出</x:v>
      </x:c>
      <x:c r="D20" s="10" t="str">
        <x:v>阻断透明度</x:v>
      </x:c>
      <x:c r="E20" s="10" t="str">
        <x:v>文本</x:v>
      </x:c>
      <x:c r="F20" s="10" t="str">
        <x:v>不进入正式统计</x:v>
      </x:c>
    </x:row>
  </x:sheetData>
  <x:mergeCells>
    <x:mergeCell ref="A1:F1"/>
  </x:mergeCells>
  <x:pageMargins left="0.7" right="0.7" top="0.75" bottom="0.75" header="0.3" footer="0.3"/>
</x:worksheet>
</file>