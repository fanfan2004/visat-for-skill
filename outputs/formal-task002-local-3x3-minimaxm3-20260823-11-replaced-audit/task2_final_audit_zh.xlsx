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eee3fd9e3242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验总览" sheetId="1" r:id="R94ea73537f044a44"/>
    <x:sheet xmlns:r="http://schemas.openxmlformats.org/officeDocument/2006/relationships" name="9组明细" sheetId="2" r:id="R28e52eeda2bb49d8"/>
    <x:sheet xmlns:r="http://schemas.openxmlformats.org/officeDocument/2006/relationships" name="Token与成本" sheetId="3" r:id="R5c2f22d8db2c4eb0"/>
    <x:sheet xmlns:r="http://schemas.openxmlformats.org/officeDocument/2006/relationships" name="方法与流程" sheetId="4" r:id="R0d6285e7f63449ec"/>
    <x:sheet xmlns:r="http://schemas.openxmlformats.org/officeDocument/2006/relationships" name="条件提示词" sheetId="5" r:id="R0b6a14fbfc404d1d"/>
    <x:sheet xmlns:r="http://schemas.openxmlformats.org/officeDocument/2006/relationships" name="PD披露证据" sheetId="6" r:id="R6655d9a224454233"/>
    <x:sheet xmlns:r="http://schemas.openxmlformats.org/officeDocument/2006/relationships" name="字段映射" sheetId="7" r:id="Rf978bbc815f94e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00"/>
    <x:numFmt numFmtId="201" formatCode="0.0%"/>
    <x:numFmt numFmtId="202" formatCode="#,##0"/>
    <x:numFmt numFmtId="203" formatCode="# ,##0"/>
  </x:numFmts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5364A"/>
      <x:name val="Carlito"/>
    </x:font>
    <x:font>
      <x:b/>
      <x:sz val="10"/>
      <x:color rgb="FF25364A"/>
      <x:name val="Carlito"/>
    </x:font>
    <x:font>
      <x:sz val="10"/>
      <x:color rgb="FF25364A"/>
      <x:name val="Carlito"/>
    </x:font>
    <x:font>
      <x:b/>
      <x:sz val="12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3F66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EAF3F9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B8CCE4"/>
      </x:left>
      <x:right style="thin">
        <x:color rgb="FFB8CCE4"/>
      </x:right>
      <x:top style="thin">
        <x:color rgb="FFB8CCE4"/>
      </x:top>
      <x:bottom style="thin">
        <x:color rgb="FFB8CCE4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1" xfId="0" applyNumberFormat="1" applyFont="1" applyFill="1" applyBorder="1"/>
    <x:xf numFmtId="0" fontId="4" fillId="0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top" wrapText="1"/>
    </x:xf>
    <x:xf numFmtId="201" fontId="4" fillId="7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2" fontId="4" fillId="7" borderId="1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200" fontId="4" fillId="7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8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4" fillId="7" borderId="1" xfId="0" applyNumberFormat="1" applyFont="1" applyFill="1" applyBorder="1" applyAlignment="1">
      <x:alignment vertical="top" wrapText="1"/>
    </x:xf>
    <x:xf numFmtId="203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80d3af0ddc4400" /><Relationship Type="http://schemas.openxmlformats.org/officeDocument/2006/relationships/theme" Target="/xl/theme/theme1.xml" Id="R86ea1e1f5b694e37" /><Relationship Type="http://schemas.microsoft.com/office/2022/11/relationships/FeaturePropertyBag" Target="/xl/featurePropertyBag/featurePropertyBag.xml" Id="R016c44e01baa41ca" /><Relationship Type="http://schemas.openxmlformats.org/officeDocument/2006/relationships/sharedStrings" Target="/xl/sharedStrings.xml" Id="R6e58e1c1225144d6" /><Relationship Type="http://schemas.openxmlformats.org/officeDocument/2006/relationships/worksheet" Target="/xl/worksheets/sheet1.xml" Id="R94ea73537f044a44" /><Relationship Type="http://schemas.openxmlformats.org/officeDocument/2006/relationships/worksheet" Target="/xl/worksheets/sheet2.xml" Id="R28e52eeda2bb49d8" /><Relationship Type="http://schemas.openxmlformats.org/officeDocument/2006/relationships/worksheet" Target="/xl/worksheets/sheet3.xml" Id="R5c2f22d8db2c4eb0" /><Relationship Type="http://schemas.openxmlformats.org/officeDocument/2006/relationships/worksheet" Target="/xl/worksheets/sheet4.xml" Id="R0d6285e7f63449ec" /><Relationship Type="http://schemas.openxmlformats.org/officeDocument/2006/relationships/worksheet" Target="/xl/worksheets/sheet5.xml" Id="R0b6a14fbfc404d1d" /><Relationship Type="http://schemas.openxmlformats.org/officeDocument/2006/relationships/worksheet" Target="/xl/worksheets/sheet6.xml" Id="R6655d9a224454233" /><Relationship Type="http://schemas.openxmlformats.org/officeDocument/2006/relationships/worksheet" Target="/xl/worksheets/sheet7.xml" Id="Rf978bbc815f94e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8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Vista task2 · 本机 OpenCode 三条件 × 三重复实验审计（中文）</x:v>
      </x:c>
      <x:c r="B1" s="3"/>
      <x:c r="C1" s="3"/>
      <x:c r="D1" s="3"/>
      <x:c r="E1" s="3"/>
      <x:c r="F1" s="3"/>
      <x:c r="G1" s="3"/>
      <x:c r="H1" s="3"/>
    </x:row>
    <x:row r="3">
      <x:c r="A3" s="12" t="str">
        <x:v>正式替换批次</x:v>
      </x:c>
      <x:c r="B3" s="13" t="str">
        <x:v>formal-task002-local-3x3-minimaxm3-20260823-11-replaced</x:v>
      </x:c>
    </x:row>
    <x:row r="4">
      <x:c r="A4" s="12" t="str">
        <x:v>任务</x:v>
      </x:c>
      <x:c r="B4" s="13" t="str">
        <x:v>task-002 · 企业信息检索</x:v>
      </x:c>
    </x:row>
    <x:row r="5">
      <x:c r="A5" s="12" t="str">
        <x:v>完成状态</x:v>
      </x:c>
      <x:c r="B5" s="15" t="str">
        <x:v>9/9 有效试验完成；3 个历史 429 已由全新隔离重跑替换</x:v>
      </x:c>
    </x:row>
    <x:row r="6">
      <x:c r="A6" s="12" t="str">
        <x:v>完成试验</x:v>
      </x:c>
      <x:c r="B6" s="13" t="n">
        <x:v>9</x:v>
      </x:c>
    </x:row>
    <x:row r="7">
      <x:c r="A7" s="12" t="str">
        <x:v>独立 session</x:v>
      </x:c>
      <x:c r="B7" s="13" t="n">
        <x:v>9</x:v>
      </x:c>
    </x:row>
    <x:row r="8">
      <x:c r="A8" s="12" t="str">
        <x:v>最终 Verifier</x:v>
      </x:c>
      <x:c r="B8" s="13" t="str">
        <x:v>6/9 通过</x:v>
      </x:c>
    </x:row>
    <x:row r="9">
      <x:c r="A9" s="12" t="str">
        <x:v>实际提供商 / 模型</x:v>
      </x:c>
      <x:c r="B9" s="13" t="str">
        <x:v>minimax-cn / MiniMax-M3</x:v>
      </x:c>
    </x:row>
    <x:row r="10">
      <x:c r="A10" s="12" t="str">
        <x:v>OpenCode 记录费用</x:v>
      </x:c>
      <x:c r="B10" s="14" t="n">
        <x:v>7.01897172</x:v>
      </x:c>
    </x:row>
    <x:row r="11">
      <x:c r="A11" s="12" t="str">
        <x:v>Docker / SkillBench 路线</x:v>
      </x:c>
      <x:c r="B11" s="13" t="str">
        <x:v>false / false</x:v>
      </x:c>
    </x:row>
    <x:row r="13">
      <x:c r="A13" s="17" t="str">
        <x:v>条件汇总（由 Token 与成本表公式引用）</x:v>
      </x:c>
      <x:c r="B13" s="17"/>
      <x:c r="C13" s="17"/>
      <x:c r="D13" s="17"/>
      <x:c r="E13" s="17"/>
      <x:c r="F13" s="17"/>
      <x:c r="G13" s="17"/>
      <x:c r="H13" s="17"/>
    </x:row>
    <x:row r="14">
      <x:c r="A14" s="22" t="str">
        <x:v>条件</x:v>
      </x:c>
      <x:c r="B14" s="22" t="str">
        <x:v>试验数</x:v>
      </x:c>
      <x:c r="C14" s="22" t="str">
        <x:v>通过数</x:v>
      </x:c>
      <x:c r="D14" s="22" t="str">
        <x:v>通过率</x:v>
      </x:c>
      <x:c r="E14" s="22" t="str">
        <x:v>总轮次</x:v>
      </x:c>
      <x:c r="F14" s="22" t="str">
        <x:v>新鲜 Token</x:v>
      </x:c>
      <x:c r="G14" s="22" t="str">
        <x:v>缓存读取</x:v>
      </x:c>
      <x:c r="H14" s="22" t="str">
        <x:v>记录费用</x:v>
      </x:c>
    </x:row>
    <x:row r="15">
      <x:c r="A15" s="23" t="str">
        <x:v>No-Skill</x:v>
      </x:c>
      <x:c r="B15" s="26" t="n">
        <x:f>'Token与成本'!B4</x:f>
        <x:v>3</x:v>
      </x:c>
      <x:c r="C15" s="26" t="n">
        <x:f>'Token与成本'!C4</x:f>
        <x:v>1</x:v>
      </x:c>
      <x:c r="D15" s="24" t="n">
        <x:f>'Token与成本'!D4</x:f>
        <x:v>0.3333333333333333</x:v>
      </x:c>
      <x:c r="E15" s="26" t="n">
        <x:f>'Token与成本'!E4</x:f>
        <x:v>13</x:v>
      </x:c>
      <x:c r="F15" s="26" t="n">
        <x:f>'Token与成本'!F4</x:f>
        <x:v>1199223</x:v>
      </x:c>
      <x:c r="G15" s="26" t="n">
        <x:f>'Token与成本'!G4</x:f>
        <x:v>23670895</x:v>
      </x:c>
      <x:c r="H15" s="28" t="n">
        <x:f>'Token与成本'!J4</x:f>
        <x:v>2.5412608199999998</x:v>
      </x:c>
    </x:row>
    <x:row r="16">
      <x:c r="A16" s="13" t="str">
        <x:v>Native</x:v>
      </x:c>
      <x:c r="B16" s="27" t="n">
        <x:f>'Token与成本'!B5</x:f>
        <x:v>3</x:v>
      </x:c>
      <x:c r="C16" s="27" t="n">
        <x:f>'Token与成本'!C5</x:f>
        <x:v>3</x:v>
      </x:c>
      <x:c r="D16" s="25" t="n">
        <x:f>'Token与成本'!D5</x:f>
        <x:v>1</x:v>
      </x:c>
      <x:c r="E16" s="27" t="n">
        <x:f>'Token与成本'!E5</x:f>
        <x:v>10</x:v>
      </x:c>
      <x:c r="F16" s="27" t="n">
        <x:f>'Token与成本'!F5</x:f>
        <x:v>629843</x:v>
      </x:c>
      <x:c r="G16" s="27" t="n">
        <x:f>'Token与成本'!G5</x:f>
        <x:v>28860541</x:v>
      </x:c>
      <x:c r="H16" s="14" t="n">
        <x:f>'Token与成本'!J5</x:f>
        <x:v>2.06470686</x:v>
      </x:c>
    </x:row>
    <x:row r="17">
      <x:c r="A17" s="23" t="str">
        <x:v>PD-VISTA</x:v>
      </x:c>
      <x:c r="B17" s="26" t="n">
        <x:f>'Token与成本'!B6</x:f>
        <x:v>3</x:v>
      </x:c>
      <x:c r="C17" s="26" t="n">
        <x:f>'Token与成本'!C6</x:f>
        <x:v>2</x:v>
      </x:c>
      <x:c r="D17" s="24" t="n">
        <x:f>'Token与成本'!D6</x:f>
        <x:v>0.6666666666666666</x:v>
      </x:c>
      <x:c r="E17" s="26" t="n">
        <x:f>'Token与成本'!E6</x:f>
        <x:v>9</x:v>
      </x:c>
      <x:c r="F17" s="26" t="n">
        <x:f>'Token与成本'!F6</x:f>
        <x:v>563418</x:v>
      </x:c>
      <x:c r="G17" s="26" t="n">
        <x:f>'Token与成本'!G6</x:f>
        <x:v>25200432</x:v>
      </x:c>
      <x:c r="H17" s="28" t="n">
        <x:f>'Token与成本'!J6</x:f>
        <x:v>2.41300404</x:v>
      </x:c>
    </x:row>
    <x:row r="20">
      <x:c r="A20" s="17" t="str">
        <x:v>审计完整性与排除批次</x:v>
      </x:c>
      <x:c r="B20" s="17"/>
      <x:c r="C20" s="17"/>
      <x:c r="D20" s="17"/>
      <x:c r="E20" s="17"/>
      <x:c r="F20" s="17"/>
      <x:c r="G20" s="17"/>
      <x:c r="H20" s="17"/>
    </x:row>
    <x:row r="21">
      <x:c r="A21" s="22" t="str">
        <x:v>检查项</x:v>
      </x:c>
      <x:c r="B21" s="22" t="str">
        <x:v>结果</x:v>
      </x:c>
    </x:row>
    <x:row r="22">
      <x:c r="A22" s="13" t="str">
        <x:v>9 个结果文件</x:v>
      </x:c>
      <x:c r="B22" s="34" t="n">
        <x:v>9</x:v>
      </x:c>
    </x:row>
    <x:row r="23">
      <x:c r="A23" s="13" t="str">
        <x:v>9 个唯一 session</x:v>
      </x:c>
      <x:c r="B23" s="34" t="n">
        <x:v>9</x:v>
      </x:c>
    </x:row>
    <x:row r="24">
      <x:c r="A24" s="13" t="str">
        <x:v>最终 Verifier 通过数</x:v>
      </x:c>
      <x:c r="B24" s="34" t="str">
        <x:v>6/9</x:v>
      </x:c>
    </x:row>
    <x:row r="25">
      <x:c r="A25" s="13" t="str">
        <x:v>模型身份一致（逐 DB 只读）</x:v>
      </x:c>
      <x:c r="B25" s="35" t="b">
        <x:v>1</x:v>
      </x:c>
    </x:row>
    <x:row r="26">
      <x:c r="A26" s="13" t="str">
        <x:v>Docker 使用</x:v>
      </x:c>
      <x:c r="B26" s="36" t="b">
        <x:v>0</x:v>
      </x:c>
    </x:row>
    <x:row r="27">
      <x:c r="A27" s="13" t="str">
        <x:v>SkillBench 标准执行路线</x:v>
      </x:c>
      <x:c r="B27" s="36" t="b">
        <x:v>0</x:v>
      </x:c>
    </x:row>
    <x:row r="28">
      <x:c r="A28" s="13" t="str">
        <x:v>历史 429 替换条目</x:v>
      </x:c>
      <x:c r="B28" s="15" t="n">
        <x:v>3</x:v>
      </x:c>
    </x:row>
    <x:row r="29">
      <x:c r="A29" s="13" t="str">
        <x:v>排除诊断批次</x:v>
      </x:c>
      <x:c r="B29" s="15" t="n">
        <x:v>9</x:v>
      </x:c>
    </x:row>
    <x:row r="32">
      <x:c r="A32" s="13" t="str">
        <x:v>审计来源：/Users/wangjinhua/Downloads/vista-travel-macos-handoff-20260819-192318/data/raw/formal-task002-local-3x3-minimaxm3-20260823-11-replaced/group-summary.json
/Users/wangjinhua/Downloads/vista-travel-macos-handoff-20260819-192318/data/raw/formal-task002-local-3x3-minimaxm3-20260823-11-replaced/posthoc-audit.json
3 条历史 HTTP 429 仅作为外在服务诊断保留；由 -11 批次的三个全新隔离会话替换。实际 provider/model 与费用：逐个只读查询最终 9 个隔离 opencode.db。</x:v>
      </x:c>
      <x:c r="B32" s="13"/>
      <x:c r="C32" s="13"/>
      <x:c r="D32" s="13"/>
      <x:c r="E32" s="13"/>
      <x:c r="F32" s="13"/>
      <x:c r="G32" s="13"/>
      <x:c r="H32" s="13"/>
    </x:row>
    <x:row r="33">
      <x:c r="A33" s="13"/>
      <x:c r="B33" s="13"/>
      <x:c r="C33" s="13"/>
      <x:c r="D33" s="13"/>
      <x:c r="E33" s="13"/>
      <x:c r="F33" s="13"/>
      <x:c r="G33" s="13"/>
      <x:c r="H33" s="13"/>
    </x:row>
    <x:row r="34">
      <x:c r="A34" s="13"/>
      <x:c r="B34" s="13"/>
      <x:c r="C34" s="13"/>
      <x:c r="D34" s="13"/>
      <x:c r="E34" s="13"/>
      <x:c r="F34" s="13"/>
      <x:c r="G34" s="13"/>
      <x:c r="H34" s="13"/>
    </x:row>
    <x:row r="35">
      <x:c r="A35" s="13"/>
      <x:c r="B35" s="13"/>
      <x:c r="C35" s="13"/>
      <x:c r="D35" s="13"/>
      <x:c r="E35" s="13"/>
      <x:c r="F35" s="13"/>
      <x:c r="G35" s="13"/>
      <x:c r="H35" s="13"/>
    </x:row>
    <x:row r="36">
      <x:c r="A36" s="13"/>
      <x:c r="B36" s="13"/>
      <x:c r="C36" s="13"/>
      <x:c r="D36" s="13"/>
      <x:c r="E36" s="13"/>
      <x:c r="F36" s="13"/>
      <x:c r="G36" s="13"/>
      <x:c r="H36" s="13"/>
    </x:row>
  </x:sheetData>
  <x:mergeCells>
    <x:mergeCell ref="A1:H1"/>
    <x:mergeCell ref="A13:H13"/>
    <x:mergeCell ref="A20:H20"/>
    <x:mergeCell ref="A32:H32"/>
    <x:mergeCell ref="A33:H33"/>
    <x:mergeCell ref="A34:H34"/>
    <x:mergeCell ref="A35:H35"/>
    <x:mergeCell ref="A36:H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3" hidden="0" customWidth="1"/>
    <x:col min="3" max="3" width="8" hidden="0" customWidth="1"/>
    <x:col min="4" max="4" width="30" hidden="0" customWidth="1"/>
    <x:col min="5" max="5" width="10" hidden="0" customWidth="1"/>
    <x:col min="6" max="6" width="8" hidden="0" customWidth="1"/>
    <x:col min="7" max="7" width="8" hidden="0" customWidth="1"/>
    <x:col min="8" max="8" width="10" hidden="0" customWidth="1"/>
    <x:col min="9" max="9" width="10" hidden="0" customWidth="1"/>
    <x:col min="10" max="10" width="13" hidden="0" customWidth="1"/>
    <x:col min="11" max="11" width="13" hidden="0" customWidth="1"/>
    <x:col min="12" max="12" width="15" hidden="0" customWidth="1"/>
    <x:col min="13" max="13" width="14" hidden="0" customWidth="1"/>
    <x:col min="14" max="14" width="14" hidden="0" customWidth="1"/>
    <x:col min="15" max="15" width="14" hidden="0" customWidth="1"/>
    <x:col min="16" max="16" width="29" hidden="0" customWidth="1"/>
    <x:col min="17" max="17" width="16" hidden="0" customWidth="1"/>
    <x:col min="18" max="18" width="15" hidden="0" customWidth="1"/>
    <x:col min="19" max="19" width="32" hidden="0" customWidth="1"/>
    <x:col min="20" max="20" width="32" hidden="0" customWidth="1"/>
    <x:col min="21" max="21" width="32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27" hidden="0" customWidth="1"/>
    <x:col min="28" max="28" width="18" hidden="0" customWidth="1"/>
  </x:cols>
  <x:sheetData>
    <x:row r="1" ht="30" customHeight="1">
      <x:c r="A1" s="3" t="str">
        <x:v>task2 · 9 组独立 OpenCode 会话明细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</x:row>
    <x:row r="3">
      <x:c r="A3" s="22" t="str">
        <x:v>试验 ID</x:v>
      </x:c>
      <x:c r="B3" s="22" t="str">
        <x:v>条件</x:v>
      </x:c>
      <x:c r="C3" s="22" t="str">
        <x:v>重复</x:v>
      </x:c>
      <x:c r="D3" s="22" t="str">
        <x:v>状态</x:v>
      </x:c>
      <x:c r="E3" s="22" t="str">
        <x:v>最终通过</x:v>
      </x:c>
      <x:c r="F3" s="22" t="str">
        <x:v>轮次</x:v>
      </x:c>
      <x:c r="G3" s="22" t="str">
        <x:v>超时</x:v>
      </x:c>
      <x:c r="H3" s="22" t="str">
        <x:v>请求</x:v>
      </x:c>
      <x:c r="I3" s="22" t="str">
        <x:v>工具调用</x:v>
      </x:c>
      <x:c r="J3" s="22" t="str">
        <x:v>输入 Token</x:v>
      </x:c>
      <x:c r="K3" s="22" t="str">
        <x:v>输出 Token</x:v>
      </x:c>
      <x:c r="L3" s="22" t="str">
        <x:v>缓存读取</x:v>
      </x:c>
      <x:c r="M3" s="22" t="str">
        <x:v>新鲜 Token</x:v>
      </x:c>
      <x:c r="N3" s="22" t="str">
        <x:v>总 Token</x:v>
      </x:c>
      <x:c r="O3" s="22" t="str">
        <x:v>记录费用</x:v>
      </x:c>
      <x:c r="P3" s="22" t="str">
        <x:v>Session ID</x:v>
      </x:c>
      <x:c r="Q3" s="22" t="str">
        <x:v>实际 Provider</x:v>
      </x:c>
      <x:c r="R3" s="22" t="str">
        <x:v>实际 Model</x:v>
      </x:c>
      <x:c r="S3" s="22" t="str">
        <x:v>初始模块</x:v>
      </x:c>
      <x:c r="T3" s="22" t="str">
        <x:v>披露模块</x:v>
      </x:c>
      <x:c r="U3" s="22" t="str">
        <x:v>披露后访问</x:v>
      </x:c>
      <x:c r="V3" s="22" t="str">
        <x:v>触发机会</x:v>
      </x:c>
      <x:c r="W3" s="22" t="str">
        <x:v>可路由反馈</x:v>
      </x:c>
      <x:c r="X3" s="22" t="str">
        <x:v>成功披露</x:v>
      </x:c>
      <x:c r="Y3" s="22" t="str">
        <x:v>后续访问</x:v>
      </x:c>
      <x:c r="Z3" s="22" t="str">
        <x:v>干净闭环</x:v>
      </x:c>
      <x:c r="AA3" s="22" t="str">
        <x:v>最终原因</x:v>
      </x:c>
      <x:c r="AB3" s="22" t="str">
        <x:v>最终 Verifier</x:v>
      </x:c>
    </x:row>
    <x:row r="4" ht="58" customHeight="1">
      <x:c r="A4" s="23" t="str">
        <x:v>formal-task002-local-3x3-minimaxm3-20260822-08-noskill-replicate-01</x:v>
      </x:c>
      <x:c r="B4" s="23" t="str">
        <x:v>No-Skill</x:v>
      </x:c>
      <x:c r="C4" s="37" t="n">
        <x:v>1</x:v>
      </x:c>
      <x:c r="D4" s="37" t="str">
        <x:v>failed_max_turns</x:v>
      </x:c>
      <x:c r="E4" s="37" t="n">
        <x:v>0</x:v>
      </x:c>
      <x:c r="F4" s="37" t="n">
        <x:v>6</x:v>
      </x:c>
      <x:c r="G4" s="37" t="n">
        <x:v>1</x:v>
      </x:c>
      <x:c r="H4" s="37" t="n">
        <x:v>121</x:v>
      </x:c>
      <x:c r="I4" s="37" t="n">
        <x:v>115</x:v>
      </x:c>
      <x:c r="J4" s="37" t="n">
        <x:v>692319</x:v>
      </x:c>
      <x:c r="K4" s="37" t="n">
        <x:v>89735</x:v>
      </x:c>
      <x:c r="L4" s="37" t="n">
        <x:v>16642226</x:v>
      </x:c>
      <x:c r="M4" s="37" t="n">
        <x:f>J4+K4</x:f>
        <x:v>782054</x:v>
      </x:c>
      <x:c r="N4" s="37" t="n">
        <x:f>M4+L4</x:f>
        <x:v>17424280</x:v>
      </x:c>
      <x:c r="O4" s="28" t="n">
        <x:v>1.92563268</x:v>
      </x:c>
      <x:c r="P4" s="23" t="str">
        <x:v>ses_fd6ca6ebdffeBHJg3box6ipZoo</x:v>
      </x:c>
      <x:c r="Q4" s="23" t="str">
        <x:v>minimax-cn</x:v>
      </x:c>
      <x:c r="R4" s="23" t="str">
        <x:v>MiniMax-M3</x:v>
      </x:c>
      <x:c r="S4" s="23" t="str"/>
      <x:c r="T4" s="23" t="str"/>
      <x:c r="U4" s="23" t="str"/>
      <x:c r="V4" s="23" t="n">
        <x:v>6</x:v>
      </x:c>
      <x:c r="W4" s="23" t="n">
        <x:v>0</x:v>
      </x:c>
      <x:c r="X4" s="23" t="n">
        <x:v>0</x:v>
      </x:c>
      <x:c r="Y4" s="23" t="n">
        <x:v>0</x:v>
      </x:c>
      <x:c r="Z4" s="23" t="n">
        <x:v>0</x:v>
      </x:c>
      <x:c r="AA4" s="23" t="str">
        <x:v>max_turns</x:v>
      </x:c>
      <x:c r="AB4" s="23" t="str">
        <x:v>未通过 / 隔离</x:v>
      </x:c>
    </x:row>
    <x:row r="5" ht="58" customHeight="1">
      <x:c r="A5" s="13" t="str">
        <x:v>formal-task002-local-3x3-minimaxm3-20260822-08-native-replicate-01</x:v>
      </x:c>
      <x:c r="B5" s="13" t="str">
        <x:v>Native</x:v>
      </x:c>
      <x:c r="C5" s="38" t="n">
        <x:v>1</x:v>
      </x:c>
      <x:c r="D5" s="38" t="str">
        <x:v>passed</x:v>
      </x:c>
      <x:c r="E5" s="38" t="n">
        <x:v>1</x:v>
      </x:c>
      <x:c r="F5" s="38" t="n">
        <x:v>3</x:v>
      </x:c>
      <x:c r="G5" s="38" t="n">
        <x:v>1</x:v>
      </x:c>
      <x:c r="H5" s="38" t="n">
        <x:v>120</x:v>
      </x:c>
      <x:c r="I5" s="38" t="n">
        <x:v>117</x:v>
      </x:c>
      <x:c r="J5" s="38" t="n">
        <x:v>144904</x:v>
      </x:c>
      <x:c r="K5" s="38" t="n">
        <x:v>60358</x:v>
      </x:c>
      <x:c r="L5" s="38" t="n">
        <x:v>9550973</x:v>
      </x:c>
      <x:c r="M5" s="38" t="n">
        <x:f>J5+K5</x:f>
        <x:v>205262</x:v>
      </x:c>
      <x:c r="N5" s="38" t="n">
        <x:f>M5+L5</x:f>
        <x:v>9756235</x:v>
      </x:c>
      <x:c r="O5" s="14" t="n">
        <x:v>0.68895918</x:v>
      </x:c>
      <x:c r="P5" s="13" t="str">
        <x:v>ses_fd6b4f98affer5X04RClZpSKbB</x:v>
      </x:c>
      <x:c r="Q5" s="13" t="str">
        <x:v>minimax-cn</x:v>
      </x:c>
      <x:c r="R5" s="13" t="str">
        <x:v>MiniMax-M3</x:v>
      </x:c>
      <x:c r="S5" s="13" t="str">
        <x:v>enterprise-artifact-search</x:v>
      </x:c>
      <x:c r="T5" s="13" t="str"/>
      <x:c r="U5" s="13" t="str"/>
      <x:c r="V5" s="13" t="n">
        <x:v>2</x:v>
      </x:c>
      <x:c r="W5" s="13" t="n">
        <x:v>0</x:v>
      </x:c>
      <x:c r="X5" s="13" t="n">
        <x:v>0</x:v>
      </x:c>
      <x:c r="Y5" s="13" t="n">
        <x:v>0</x:v>
      </x:c>
      <x:c r="Z5" s="13" t="n">
        <x:v>0</x:v>
      </x:c>
      <x:c r="AA5" s="13" t="str">
        <x:v>verifier_pass_after_model_timeout</x:v>
      </x:c>
      <x:c r="AB5" s="13" t="str">
        <x:v>通过</x:v>
      </x:c>
    </x:row>
    <x:row r="6" ht="58" customHeight="1">
      <x:c r="A6" s="23" t="str">
        <x:v>formal-task002-local-3x3-minimaxm3-20260822-08-pd-vista-replicate-01</x:v>
      </x:c>
      <x:c r="B6" s="23" t="str">
        <x:v>PD-VISTA</x:v>
      </x:c>
      <x:c r="C6" s="37" t="n">
        <x:v>1</x:v>
      </x:c>
      <x:c r="D6" s="37" t="str">
        <x:v>passed_without_clean_vista_feedback_loop</x:v>
      </x:c>
      <x:c r="E6" s="37" t="n">
        <x:v>1</x:v>
      </x:c>
      <x:c r="F6" s="37" t="n">
        <x:v>1</x:v>
      </x:c>
      <x:c r="G6" s="37" t="n">
        <x:v>0</x:v>
      </x:c>
      <x:c r="H6" s="37" t="n">
        <x:v>48</x:v>
      </x:c>
      <x:c r="I6" s="37" t="n">
        <x:v>47</x:v>
      </x:c>
      <x:c r="J6" s="37" t="n">
        <x:v>64741</x:v>
      </x:c>
      <x:c r="K6" s="37" t="n">
        <x:v>15163</x:v>
      </x:c>
      <x:c r="L6" s="37" t="n">
        <x:v>1627194</x:v>
      </x:c>
      <x:c r="M6" s="37" t="n">
        <x:f>J6+K6</x:f>
        <x:v>79904</x:v>
      </x:c>
      <x:c r="N6" s="37" t="n">
        <x:f>M6+L6</x:f>
        <x:v>1707098</x:v>
      </x:c>
      <x:c r="O6" s="28" t="n">
        <x:v>0.13524954</x:v>
      </x:c>
      <x:c r="P6" s="23" t="str">
        <x:v>ses_fd6a85723ffekMROM6qOjxKUIF</x:v>
      </x:c>
      <x:c r="Q6" s="23" t="str">
        <x:v>minimax-cn</x:v>
      </x:c>
      <x:c r="R6" s="23" t="str">
        <x:v>MiniMax-M3</x:v>
      </x:c>
      <x:c r="S6" s="23" t="str"/>
      <x:c r="T6" s="23" t="str"/>
      <x:c r="U6" s="23" t="str"/>
      <x:c r="V6" s="23" t="n">
        <x:v>0</x:v>
      </x:c>
      <x:c r="W6" s="23" t="n">
        <x:v>0</x:v>
      </x:c>
      <x:c r="X6" s="23" t="n">
        <x:v>0</x:v>
      </x:c>
      <x:c r="Y6" s="23" t="n">
        <x:v>0</x:v>
      </x:c>
      <x:c r="Z6" s="23" t="n">
        <x:v>0</x:v>
      </x:c>
      <x:c r="AA6" s="23" t="str">
        <x:v>verifier_pass</x:v>
      </x:c>
      <x:c r="AB6" s="23" t="str">
        <x:v>通过</x:v>
      </x:c>
    </x:row>
    <x:row r="7" ht="58" customHeight="1">
      <x:c r="A7" s="13" t="str">
        <x:v>formal-task002-local-3x3-minimaxm3-20260822-08-native-replicate-02</x:v>
      </x:c>
      <x:c r="B7" s="13" t="str">
        <x:v>Native</x:v>
      </x:c>
      <x:c r="C7" s="38" t="n">
        <x:v>2</x:v>
      </x:c>
      <x:c r="D7" s="38" t="str">
        <x:v>passed</x:v>
      </x:c>
      <x:c r="E7" s="38" t="n">
        <x:v>1</x:v>
      </x:c>
      <x:c r="F7" s="38" t="n">
        <x:v>5</x:v>
      </x:c>
      <x:c r="G7" s="38" t="n">
        <x:v>1</x:v>
      </x:c>
      <x:c r="H7" s="38" t="n">
        <x:v>169</x:v>
      </x:c>
      <x:c r="I7" s="38" t="n">
        <x:v>165</x:v>
      </x:c>
      <x:c r="J7" s="38" t="n">
        <x:v>215386</x:v>
      </x:c>
      <x:c r="K7" s="38" t="n">
        <x:v>70766</x:v>
      </x:c>
      <x:c r="L7" s="38" t="n">
        <x:v>16280832</x:v>
      </x:c>
      <x:c r="M7" s="38" t="n">
        <x:f>J7+K7</x:f>
        <x:v>286152</x:v>
      </x:c>
      <x:c r="N7" s="38" t="n">
        <x:f>M7+L7</x:f>
        <x:v>16566984</x:v>
      </x:c>
      <x:c r="O7" s="14" t="n">
        <x:v>1.12638492</x:v>
      </x:c>
      <x:c r="P7" s="13" t="str">
        <x:v>ses_fd6a59dc0ffefGLvhDrPwYyyin</x:v>
      </x:c>
      <x:c r="Q7" s="13" t="str">
        <x:v>minimax-cn</x:v>
      </x:c>
      <x:c r="R7" s="13" t="str">
        <x:v>MiniMax-M3</x:v>
      </x:c>
      <x:c r="S7" s="13" t="str">
        <x:v>enterprise-artifact-search</x:v>
      </x:c>
      <x:c r="T7" s="13" t="str"/>
      <x:c r="U7" s="13" t="str"/>
      <x:c r="V7" s="13" t="n">
        <x:v>4</x:v>
      </x:c>
      <x:c r="W7" s="13" t="n">
        <x:v>0</x:v>
      </x:c>
      <x:c r="X7" s="13" t="n">
        <x:v>0</x:v>
      </x:c>
      <x:c r="Y7" s="13" t="n">
        <x:v>0</x:v>
      </x:c>
      <x:c r="Z7" s="13" t="n">
        <x:v>0</x:v>
      </x:c>
      <x:c r="AA7" s="13" t="str">
        <x:v>verifier_pass_after_model_timeout</x:v>
      </x:c>
      <x:c r="AB7" s="13" t="str">
        <x:v>通过</x:v>
      </x:c>
    </x:row>
    <x:row r="8" ht="58" customHeight="1">
      <x:c r="A8" s="23" t="str">
        <x:v>formal-task002-local-3x3-minimaxm3-20260822-08-pd-vista-replicate-02</x:v>
      </x:c>
      <x:c r="B8" s="23" t="str">
        <x:v>PD-VISTA</x:v>
      </x:c>
      <x:c r="C8" s="37" t="n">
        <x:v>2</x:v>
      </x:c>
      <x:c r="D8" s="37" t="str">
        <x:v>passed_with_clean_vista_feedback_loop</x:v>
      </x:c>
      <x:c r="E8" s="37" t="n">
        <x:v>1</x:v>
      </x:c>
      <x:c r="F8" s="37" t="n">
        <x:v>2</x:v>
      </x:c>
      <x:c r="G8" s="37" t="n">
        <x:v>0</x:v>
      </x:c>
      <x:c r="H8" s="37" t="n">
        <x:v>76</x:v>
      </x:c>
      <x:c r="I8" s="37" t="n">
        <x:v>74</x:v>
      </x:c>
      <x:c r="J8" s="37" t="n">
        <x:v>102508</x:v>
      </x:c>
      <x:c r="K8" s="37" t="n">
        <x:v>20241</x:v>
      </x:c>
      <x:c r="L8" s="37" t="n">
        <x:v>3899781</x:v>
      </x:c>
      <x:c r="M8" s="37" t="n">
        <x:f>J8+K8</x:f>
        <x:v>122749</x:v>
      </x:c>
      <x:c r="N8" s="37" t="n">
        <x:f>M8+L8</x:f>
        <x:v>4022530</x:v>
      </x:c>
      <x:c r="O8" s="28" t="n">
        <x:v>0.28902846</x:v>
      </x:c>
      <x:c r="P8" s="23" t="str">
        <x:v>ses_fd68e032fffe5HenUGg5OpX8KV</x:v>
      </x:c>
      <x:c r="Q8" s="23" t="str">
        <x:v>minimax-cn</x:v>
      </x:c>
      <x:c r="R8" s="23" t="str">
        <x:v>MiniMax-M3</x:v>
      </x:c>
      <x:c r="S8" s="23" t="str"/>
      <x:c r="T8" s="23" t="str">
        <x:v>enterprise-artifact-search</x:v>
      </x:c>
      <x:c r="U8" s="23" t="str">
        <x:v>enterprise-artifact-search</x:v>
      </x:c>
      <x:c r="V8" s="23" t="n">
        <x:v>1</x:v>
      </x:c>
      <x:c r="W8" s="23" t="n">
        <x:v>1</x:v>
      </x:c>
      <x:c r="X8" s="23" t="n">
        <x:v>1</x:v>
      </x:c>
      <x:c r="Y8" s="23" t="n">
        <x:v>1</x:v>
      </x:c>
      <x:c r="Z8" s="23" t="n">
        <x:v>1</x:v>
      </x:c>
      <x:c r="AA8" s="23" t="str">
        <x:v>verifier_pass</x:v>
      </x:c>
      <x:c r="AB8" s="23" t="str">
        <x:v>通过</x:v>
      </x:c>
    </x:row>
    <x:row r="9" ht="58" customHeight="1">
      <x:c r="A9" s="13" t="str">
        <x:v>formal-task002-local-3x3-minimaxm3-20260822-08-noskill-replicate-02</x:v>
      </x:c>
      <x:c r="B9" s="13" t="str">
        <x:v>No-Skill</x:v>
      </x:c>
      <x:c r="C9" s="38" t="n">
        <x:v>2</x:v>
      </x:c>
      <x:c r="D9" s="38" t="str">
        <x:v>failed_max_turns</x:v>
      </x:c>
      <x:c r="E9" s="38" t="n">
        <x:v>0</x:v>
      </x:c>
      <x:c r="F9" s="38" t="n">
        <x:v>6</x:v>
      </x:c>
      <x:c r="G9" s="38" t="n">
        <x:v>3</x:v>
      </x:c>
      <x:c r="H9" s="38" t="n">
        <x:v>78</x:v>
      </x:c>
      <x:c r="I9" s="38" t="n">
        <x:v>73</x:v>
      </x:c>
      <x:c r="J9" s="38" t="n">
        <x:v>242498</x:v>
      </x:c>
      <x:c r="K9" s="38" t="n">
        <x:v>41727</x:v>
      </x:c>
      <x:c r="L9" s="38" t="n">
        <x:v>4755328</x:v>
      </x:c>
      <x:c r="M9" s="38" t="n">
        <x:f>J9+K9</x:f>
        <x:v>284225</x:v>
      </x:c>
      <x:c r="N9" s="38" t="n">
        <x:f>M9+L9</x:f>
        <x:v>5039553</x:v>
      </x:c>
      <x:c r="O9" s="14" t="n">
        <x:v>0.40814148</x:v>
      </x:c>
      <x:c r="P9" s="13" t="str">
        <x:v>ses_fd6855227ffe0KSRsG7urk053A</x:v>
      </x:c>
      <x:c r="Q9" s="13" t="str">
        <x:v>minimax-cn</x:v>
      </x:c>
      <x:c r="R9" s="13" t="str">
        <x:v>MiniMax-M3</x:v>
      </x:c>
      <x:c r="S9" s="13" t="str"/>
      <x:c r="T9" s="13" t="str"/>
      <x:c r="U9" s="13" t="str"/>
      <x:c r="V9" s="13" t="n">
        <x:v>6</x:v>
      </x:c>
      <x:c r="W9" s="13" t="n">
        <x:v>0</x:v>
      </x:c>
      <x:c r="X9" s="13" t="n">
        <x:v>0</x:v>
      </x:c>
      <x:c r="Y9" s="13" t="n">
        <x:v>0</x:v>
      </x:c>
      <x:c r="Z9" s="13" t="n">
        <x:v>0</x:v>
      </x:c>
      <x:c r="AA9" s="13" t="str">
        <x:v>max_turns</x:v>
      </x:c>
      <x:c r="AB9" s="13" t="str">
        <x:v>未通过 / 隔离</x:v>
      </x:c>
    </x:row>
    <x:row r="10" ht="58" customHeight="1">
      <x:c r="A10" s="23" t="str">
        <x:v>formal-task002-local-3x3-minimaxm3-20260823-11-retry-external-pd-vista-replicate-03</x:v>
      </x:c>
      <x:c r="B10" s="23" t="str">
        <x:v>PD-VISTA</x:v>
      </x:c>
      <x:c r="C10" s="37" t="n">
        <x:v>3</x:v>
      </x:c>
      <x:c r="D10" s="37" t="str">
        <x:v>failed_max_turns</x:v>
      </x:c>
      <x:c r="E10" s="37" t="n">
        <x:v>0</x:v>
      </x:c>
      <x:c r="F10" s="37" t="n">
        <x:v>6</x:v>
      </x:c>
      <x:c r="G10" s="37" t="n">
        <x:v>0</x:v>
      </x:c>
      <x:c r="H10" s="37" t="n">
        <x:v>164</x:v>
      </x:c>
      <x:c r="I10" s="37" t="n">
        <x:v>158</x:v>
      </x:c>
      <x:c r="J10" s="37" t="n">
        <x:v>244131</x:v>
      </x:c>
      <x:c r="K10" s="37" t="n">
        <x:v>116634</x:v>
      </x:c>
      <x:c r="L10" s="37" t="n">
        <x:v>19673457</x:v>
      </x:c>
      <x:c r="M10" s="37" t="n">
        <x:f>J10+K10</x:f>
        <x:v>360765</x:v>
      </x:c>
      <x:c r="N10" s="37" t="n">
        <x:f>M10+L10</x:f>
        <x:v>20034222</x:v>
      </x:c>
      <x:c r="O10" s="28" t="n">
        <x:v>1.98872604</x:v>
      </x:c>
      <x:c r="P10" s="23" t="str">
        <x:v>ses_fd470e1fffferRyevlxS8scwz1</x:v>
      </x:c>
      <x:c r="Q10" s="23" t="str">
        <x:v>minimax-cn</x:v>
      </x:c>
      <x:c r="R10" s="23" t="str">
        <x:v>MiniMax-M3</x:v>
      </x:c>
      <x:c r="S10" s="23" t="str"/>
      <x:c r="T10" s="23" t="str">
        <x:v>enterprise-artifact-search</x:v>
      </x:c>
      <x:c r="U10" s="23" t="str">
        <x:v>enterprise-artifact-search</x:v>
      </x:c>
      <x:c r="V10" s="23" t="n">
        <x:v>6</x:v>
      </x:c>
      <x:c r="W10" s="23" t="n">
        <x:v>6</x:v>
      </x:c>
      <x:c r="X10" s="23" t="n">
        <x:v>1</x:v>
      </x:c>
      <x:c r="Y10" s="23" t="n">
        <x:v>1</x:v>
      </x:c>
      <x:c r="Z10" s="23" t="n">
        <x:v>0</x:v>
      </x:c>
      <x:c r="AA10" s="23" t="str">
        <x:v>max_turns</x:v>
      </x:c>
      <x:c r="AB10" s="23" t="str">
        <x:v>未通过 / 隔离</x:v>
      </x:c>
    </x:row>
    <x:row r="11" ht="58" customHeight="1">
      <x:c r="A11" s="13" t="str">
        <x:v>formal-task002-local-3x3-minimaxm3-20260823-11-retry-external-noskill-replicate-03</x:v>
      </x:c>
      <x:c r="B11" s="13" t="str">
        <x:v>No-Skill</x:v>
      </x:c>
      <x:c r="C11" s="38" t="n">
        <x:v>3</x:v>
      </x:c>
      <x:c r="D11" s="38" t="str">
        <x:v>passed</x:v>
      </x:c>
      <x:c r="E11" s="38" t="n">
        <x:v>1</x:v>
      </x:c>
      <x:c r="F11" s="38" t="n">
        <x:v>1</x:v>
      </x:c>
      <x:c r="G11" s="38" t="n">
        <x:v>0</x:v>
      </x:c>
      <x:c r="H11" s="38" t="n">
        <x:v>50</x:v>
      </x:c>
      <x:c r="I11" s="38" t="n">
        <x:v>51</x:v>
      </x:c>
      <x:c r="J11" s="38" t="n">
        <x:v>98274</x:v>
      </x:c>
      <x:c r="K11" s="38" t="n">
        <x:v>34670</x:v>
      </x:c>
      <x:c r="L11" s="38" t="n">
        <x:v>2273341</x:v>
      </x:c>
      <x:c r="M11" s="38" t="n">
        <x:f>J11+K11</x:f>
        <x:v>132944</x:v>
      </x:c>
      <x:c r="N11" s="38" t="n">
        <x:f>M11+L11</x:f>
        <x:v>2406285</x:v>
      </x:c>
      <x:c r="O11" s="14" t="n">
        <x:v>0.20748666</x:v>
      </x:c>
      <x:c r="P11" s="13" t="str">
        <x:v>ses_fd45d0f56ffeexyHfGKnE6b3Uf</x:v>
      </x:c>
      <x:c r="Q11" s="13" t="str">
        <x:v>minimax-cn</x:v>
      </x:c>
      <x:c r="R11" s="13" t="str">
        <x:v>MiniMax-M3</x:v>
      </x:c>
      <x:c r="S11" s="13" t="str"/>
      <x:c r="T11" s="13" t="str"/>
      <x:c r="U11" s="13" t="str"/>
      <x:c r="V11" s="13" t="n">
        <x:v>0</x:v>
      </x:c>
      <x:c r="W11" s="13" t="n">
        <x:v>0</x:v>
      </x:c>
      <x:c r="X11" s="13" t="n">
        <x:v>0</x:v>
      </x:c>
      <x:c r="Y11" s="13" t="n">
        <x:v>0</x:v>
      </x:c>
      <x:c r="Z11" s="13" t="n">
        <x:v>0</x:v>
      </x:c>
      <x:c r="AA11" s="13" t="str">
        <x:v>verifier_pass</x:v>
      </x:c>
      <x:c r="AB11" s="13" t="str">
        <x:v>通过</x:v>
      </x:c>
    </x:row>
    <x:row r="12" ht="58" customHeight="1">
      <x:c r="A12" s="23" t="str">
        <x:v>formal-task002-local-3x3-minimaxm3-20260823-11-retry-external-native-replicate-03</x:v>
      </x:c>
      <x:c r="B12" s="23" t="str">
        <x:v>Native</x:v>
      </x:c>
      <x:c r="C12" s="37" t="n">
        <x:v>3</x:v>
      </x:c>
      <x:c r="D12" s="37" t="str">
        <x:v>passed</x:v>
      </x:c>
      <x:c r="E12" s="37" t="n">
        <x:v>1</x:v>
      </x:c>
      <x:c r="F12" s="37" t="n">
        <x:v>2</x:v>
      </x:c>
      <x:c r="G12" s="37" t="n">
        <x:v>0</x:v>
      </x:c>
      <x:c r="H12" s="37" t="n">
        <x:v>71</x:v>
      </x:c>
      <x:c r="I12" s="37" t="n">
        <x:v>69</x:v>
      </x:c>
      <x:c r="J12" s="37" t="n">
        <x:v>109418</x:v>
      </x:c>
      <x:c r="K12" s="37" t="n">
        <x:v>29011</x:v>
      </x:c>
      <x:c r="L12" s="37" t="n">
        <x:v>3028736</x:v>
      </x:c>
      <x:c r="M12" s="37" t="n">
        <x:f>J12+K12</x:f>
        <x:v>138429</x:v>
      </x:c>
      <x:c r="N12" s="37" t="n">
        <x:f>M12+L12</x:f>
        <x:v>3167165</x:v>
      </x:c>
      <x:c r="O12" s="28" t="n">
        <x:v>0.24936276</x:v>
      </x:c>
      <x:c r="P12" s="23" t="str">
        <x:v>ses_fd457fe83ffezs7DbgjjL7j0KG</x:v>
      </x:c>
      <x:c r="Q12" s="23" t="str">
        <x:v>minimax-cn</x:v>
      </x:c>
      <x:c r="R12" s="23" t="str">
        <x:v>MiniMax-M3</x:v>
      </x:c>
      <x:c r="S12" s="23" t="str">
        <x:v>enterprise-artifact-search</x:v>
      </x:c>
      <x:c r="T12" s="23" t="str"/>
      <x:c r="U12" s="23" t="str"/>
      <x:c r="V12" s="23" t="n">
        <x:v>1</x:v>
      </x:c>
      <x:c r="W12" s="23" t="n">
        <x:v>0</x:v>
      </x:c>
      <x:c r="X12" s="23" t="n">
        <x:v>0</x:v>
      </x:c>
      <x:c r="Y12" s="23" t="n">
        <x:v>0</x:v>
      </x:c>
      <x:c r="Z12" s="23" t="n">
        <x:v>0</x:v>
      </x:c>
      <x:c r="AA12" s="23" t="str">
        <x:v>verifier_pass</x:v>
      </x:c>
      <x:c r="AB12" s="23" t="str">
        <x:v>通过</x:v>
      </x:c>
    </x:row>
  </x:sheetData>
  <x:mergeCells>
    <x:mergeCell ref="A1:AB1"/>
  </x:mergeCells>
  <x:conditionalFormatting sqref="E4:E12">
    <x:cfRule type="cellIs" dxfId="0" priority="1" operator="equal">
      <x:formula>1</x:formula>
    </x:cfRule>
  </x:conditionalFormatting>
  <x:conditionalFormatting sqref="D4:D12">
    <x:cfRule type="containsText" dxfId="1" priority="2" operator="containsText" text="quarantin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55" hidden="0" customWidth="1"/>
    <x:col min="4" max="4" width="14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3" t="str">
        <x:v>Token、轮次与成本（公式驱动汇总）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22" t="str">
        <x:v>条件</x:v>
      </x:c>
      <x:c r="B3" s="22" t="str">
        <x:v>试验数</x:v>
      </x:c>
      <x:c r="C3" s="22" t="str">
        <x:v>通过数</x:v>
      </x:c>
      <x:c r="D3" s="22" t="str">
        <x:v>通过率</x:v>
      </x:c>
      <x:c r="E3" s="22" t="str">
        <x:v>总轮次</x:v>
      </x:c>
      <x:c r="F3" s="22" t="str">
        <x:v>新鲜 Token</x:v>
      </x:c>
      <x:c r="G3" s="22" t="str">
        <x:v>缓存读取</x:v>
      </x:c>
      <x:c r="H3" s="22" t="str">
        <x:v>总 Token</x:v>
      </x:c>
      <x:c r="I3" s="22" t="str">
        <x:v>平均总 Token</x:v>
      </x:c>
      <x:c r="J3" s="22" t="str">
        <x:v>记录费用</x:v>
      </x:c>
    </x:row>
    <x:row r="4">
      <x:c r="A4" s="23" t="str">
        <x:v>No-Skill</x:v>
      </x:c>
      <x:c r="B4" s="26" t="n">
        <x:f>COUNTIF('9组明细'!$B$4:$B$12,A4)</x:f>
        <x:v>3</x:v>
      </x:c>
      <x:c r="C4" s="26" t="n">
        <x:f>SUMIF('9组明细'!$B$4:$B$12,A4,'9组明细'!$E$4:$E$12)</x:f>
        <x:v>1</x:v>
      </x:c>
      <x:c r="D4" s="24" t="n">
        <x:f>C4/B4</x:f>
        <x:v>0.3333333333333333</x:v>
      </x:c>
      <x:c r="E4" s="26" t="n">
        <x:f>SUMIF('9组明细'!$B$4:$B$12,A4,'9组明细'!$F$4:$F$12)</x:f>
        <x:v>13</x:v>
      </x:c>
      <x:c r="F4" s="26" t="n">
        <x:f>SUMIF('9组明细'!$B$4:$B$12,A4,'9组明细'!$M$4:$M$12)</x:f>
        <x:v>1199223</x:v>
      </x:c>
      <x:c r="G4" s="26" t="n">
        <x:f>SUMIF('9组明细'!$B$4:$B$12,A4,'9组明细'!$L$4:$L$12)</x:f>
        <x:v>23670895</x:v>
      </x:c>
      <x:c r="H4" s="26" t="n">
        <x:f>F4+G4</x:f>
        <x:v>24870118</x:v>
      </x:c>
      <x:c r="I4" s="26" t="n">
        <x:f>H4/B4</x:f>
        <x:v>8290039.333333333</x:v>
      </x:c>
      <x:c r="J4" s="28" t="n">
        <x:f>SUMIF('9组明细'!$B$4:$B$12,A4,'9组明细'!$O$4:$O$12)</x:f>
        <x:v>2.5412608199999998</x:v>
      </x:c>
    </x:row>
    <x:row r="5">
      <x:c r="A5" s="13" t="str">
        <x:v>Native</x:v>
      </x:c>
      <x:c r="B5" s="27" t="n">
        <x:f>COUNTIF('9组明细'!$B$4:$B$12,A5)</x:f>
        <x:v>3</x:v>
      </x:c>
      <x:c r="C5" s="27" t="n">
        <x:f>SUMIF('9组明细'!$B$4:$B$12,A5,'9组明细'!$E$4:$E$12)</x:f>
        <x:v>3</x:v>
      </x:c>
      <x:c r="D5" s="25" t="n">
        <x:f>C5/B5</x:f>
        <x:v>1</x:v>
      </x:c>
      <x:c r="E5" s="27" t="n">
        <x:f>SUMIF('9组明细'!$B$4:$B$12,A5,'9组明细'!$F$4:$F$12)</x:f>
        <x:v>10</x:v>
      </x:c>
      <x:c r="F5" s="27" t="n">
        <x:f>SUMIF('9组明细'!$B$4:$B$12,A5,'9组明细'!$M$4:$M$12)</x:f>
        <x:v>629843</x:v>
      </x:c>
      <x:c r="G5" s="27" t="n">
        <x:f>SUMIF('9组明细'!$B$4:$B$12,A5,'9组明细'!$L$4:$L$12)</x:f>
        <x:v>28860541</x:v>
      </x:c>
      <x:c r="H5" s="27" t="n">
        <x:f>F5+G5</x:f>
        <x:v>29490384</x:v>
      </x:c>
      <x:c r="I5" s="27" t="n">
        <x:f>H5/B5</x:f>
        <x:v>9830128</x:v>
      </x:c>
      <x:c r="J5" s="14" t="n">
        <x:f>SUMIF('9组明细'!$B$4:$B$12,A5,'9组明细'!$O$4:$O$12)</x:f>
        <x:v>2.06470686</x:v>
      </x:c>
    </x:row>
    <x:row r="6">
      <x:c r="A6" s="23" t="str">
        <x:v>PD-VISTA</x:v>
      </x:c>
      <x:c r="B6" s="26" t="n">
        <x:f>COUNTIF('9组明细'!$B$4:$B$12,A6)</x:f>
        <x:v>3</x:v>
      </x:c>
      <x:c r="C6" s="26" t="n">
        <x:f>SUMIF('9组明细'!$B$4:$B$12,A6,'9组明细'!$E$4:$E$12)</x:f>
        <x:v>2</x:v>
      </x:c>
      <x:c r="D6" s="24" t="n">
        <x:f>C6/B6</x:f>
        <x:v>0.6666666666666666</x:v>
      </x:c>
      <x:c r="E6" s="26" t="n">
        <x:f>SUMIF('9组明细'!$B$4:$B$12,A6,'9组明细'!$F$4:$F$12)</x:f>
        <x:v>9</x:v>
      </x:c>
      <x:c r="F6" s="26" t="n">
        <x:f>SUMIF('9组明细'!$B$4:$B$12,A6,'9组明细'!$M$4:$M$12)</x:f>
        <x:v>563418</x:v>
      </x:c>
      <x:c r="G6" s="26" t="n">
        <x:f>SUMIF('9组明细'!$B$4:$B$12,A6,'9组明细'!$L$4:$L$12)</x:f>
        <x:v>25200432</x:v>
      </x:c>
      <x:c r="H6" s="26" t="n">
        <x:f>F6+G6</x:f>
        <x:v>25763850</x:v>
      </x:c>
      <x:c r="I6" s="26" t="n">
        <x:f>H6/B6</x:f>
        <x:v>8587950</x:v>
      </x:c>
      <x:c r="J6" s="28" t="n">
        <x:f>SUMIF('9组明细'!$B$4:$B$12,A6,'9组明细'!$O$4:$O$12)</x:f>
        <x:v>2.41300404</x:v>
      </x:c>
    </x:row>
    <x:row r="9">
      <x:c r="A9" s="17" t="str">
        <x:v>审计指标（公式）</x:v>
      </x:c>
      <x:c r="B9" s="17"/>
      <x:c r="C9" s="17"/>
      <x:c r="D9" s="17"/>
      <x:c r="E9" s="17"/>
      <x:c r="F9" s="17"/>
      <x:c r="G9" s="17"/>
      <x:c r="H9" s="17"/>
      <x:c r="I9" s="17"/>
      <x:c r="J9" s="17"/>
    </x:row>
    <x:row r="10">
      <x:c r="A10" s="22" t="str">
        <x:v>指标</x:v>
      </x:c>
      <x:c r="B10" s="22" t="str">
        <x:v>数值</x:v>
      </x:c>
      <x:c r="C10" s="22" t="str">
        <x:v>解释</x:v>
      </x:c>
    </x:row>
    <x:row r="11">
      <x:c r="A11" s="13" t="str">
        <x:v>总请求</x:v>
      </x:c>
      <x:c r="B11" s="27" t="n">
        <x:f>SUM('9组明细'!H4:H12)</x:f>
        <x:v>897</x:v>
      </x:c>
      <x:c r="C11" s="13" t="str">
        <x:v>全部 9 组请求数</x:v>
      </x:c>
    </x:row>
    <x:row r="12">
      <x:c r="A12" s="13" t="str">
        <x:v>总工具调用</x:v>
      </x:c>
      <x:c r="B12" s="27" t="n">
        <x:f>SUM('9组明细'!I4:I12)</x:f>
        <x:v>869</x:v>
      </x:c>
      <x:c r="C12" s="13" t="str">
        <x:v>全部 9 组工具调用</x:v>
      </x:c>
    </x:row>
    <x:row r="13">
      <x:c r="A13" s="13" t="str">
        <x:v>总新鲜 Token</x:v>
      </x:c>
      <x:c r="B13" s="27" t="n">
        <x:f>SUM(F4:F6)</x:f>
        <x:v>2392484</x:v>
      </x:c>
      <x:c r="C13" s="13" t="str">
        <x:v>输入 + 输出；不含缓存</x:v>
      </x:c>
    </x:row>
    <x:row r="14">
      <x:c r="A14" s="13" t="str">
        <x:v>总缓存读取</x:v>
      </x:c>
      <x:c r="B14" s="27" t="n">
        <x:f>SUM(G4:G6)</x:f>
        <x:v>77731868</x:v>
      </x:c>
      <x:c r="C14" s="13" t="str">
        <x:v>可复核的 provider cache-read</x:v>
      </x:c>
    </x:row>
    <x:row r="15">
      <x:c r="A15" s="13" t="str">
        <x:v>PD-VISTA vs Native 新鲜 Token</x:v>
      </x:c>
      <x:c r="B15" s="25" t="n">
        <x:f>F6/F5-1</x:f>
        <x:v>-0.10546278993336433</x:v>
      </x:c>
      <x:c r="C15" s="13" t="str">
        <x:v>负值代表 PD-VISTA 更少</x:v>
      </x:c>
    </x:row>
    <x:row r="16">
      <x:c r="A16" s="13" t="str">
        <x:v>PD-VISTA vs No-Skill 新鲜 Token</x:v>
      </x:c>
      <x:c r="B16" s="25" t="n">
        <x:f>F6/F4-1</x:f>
        <x:v>-0.5301807920628607</x:v>
      </x:c>
      <x:c r="C16" s="13" t="str">
        <x:v>负值代表 PD-VISTA 更少</x:v>
      </x:c>
    </x:row>
  </x:sheetData>
  <x:mergeCells>
    <x:mergeCell ref="A1:J1"/>
    <x:mergeCell ref="A9:J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7" hidden="0" customWidth="1"/>
    <x:col min="3" max="3" width="38" hidden="0" customWidth="1"/>
    <x:col min="4" max="4" width="35" hidden="0" customWidth="1"/>
    <x:col min="5" max="5" width="35" hidden="0" customWidth="1"/>
    <x:col min="6" max="6" width="40" hidden="0" customWidth="1"/>
  </x:cols>
  <x:sheetData>
    <x:row r="1" ht="30" customHeight="1">
      <x:c r="A1" s="3" t="str">
        <x:v>方法与流程（task2 本机 OpenCode）</x:v>
      </x:c>
      <x:c r="B1" s="3"/>
      <x:c r="C1" s="3"/>
      <x:c r="D1" s="3"/>
      <x:c r="E1" s="3"/>
      <x:c r="F1" s="3"/>
    </x:row>
    <x:row r="3">
      <x:c r="A3" s="22" t="str">
        <x:v>阶段</x:v>
      </x:c>
      <x:c r="B3" s="22" t="str">
        <x:v>控制器动作</x:v>
      </x:c>
      <x:c r="C3" s="22" t="str">
        <x:v>模型可见内容</x:v>
      </x:c>
      <x:c r="D3" s="22" t="str">
        <x:v>控制器隐藏内容</x:v>
      </x:c>
      <x:c r="E3" s="22" t="str">
        <x:v>证据</x:v>
      </x:c>
      <x:c r="F3" s="22" t="str">
        <x:v>目的</x:v>
      </x:c>
    </x:row>
    <x:row r="4" ht="58" customHeight="1">
      <x:c r="A4" s="23" t="str">
        <x:v>1 · Readiness</x:v>
      </x:c>
      <x:c r="B4" s="23" t="str">
        <x:v>核对 task-002 身份、25MB DATA、问题、原始 Skill、PD 资产、pytest 收集 5 项。</x:v>
      </x:c>
      <x:c r="C4" s="23" t="str">
        <x:v>任务材料、question.txt</x:v>
      </x:c>
      <x:c r="D4" s="23" t="str">
        <x:v>期望答案</x:v>
      </x:c>
      <x:c r="E4" s="23" t="str">
        <x:v>readiness.json</x:v>
      </x:c>
      <x:c r="F4" s="23" t="str">
        <x:v>仅补齐项目 .venv 的 pytest</x:v>
      </x:c>
    </x:row>
    <x:row r="5" ht="58" customHeight="1">
      <x:c r="A5" s="13" t="str">
        <x:v>2 · 无容器路线</x:v>
      </x:c>
      <x:c r="B5" s="13" t="str">
        <x:v>直接调用当前 OpenCode 1.18.18 与当前 MiniMax-M3。</x:v>
      </x:c>
      <x:c r="C5" s="13" t="str">
        <x:v>隔离工作区</x:v>
      </x:c>
      <x:c r="D5" s="13" t="str">
        <x:v>Docker / BenchFlow / SkillBench 平台</x:v>
      </x:c>
      <x:c r="E5" s="13" t="str">
        <x:v>binary SHA256</x:v>
      </x:c>
      <x:c r="F5" s="13" t="str">
        <x:v>docker_used=false</x:v>
      </x:c>
    </x:row>
    <x:row r="6" ht="58" customHeight="1">
      <x:c r="A6" s="23" t="str">
        <x:v>3 · 3×3 平衡排程</x:v>
      </x:c>
      <x:c r="B6" s="23" t="str">
        <x:v>按 task1 的循环交错顺序串行执行 9 组。</x:v>
      </x:c>
      <x:c r="C6" s="23" t="str">
        <x:v>本组任务</x:v>
      </x:c>
      <x:c r="D6" s="23" t="str">
        <x:v>其他组状态</x:v>
      </x:c>
      <x:c r="E6" s="23" t="str">
        <x:v>schedule</x:v>
      </x:c>
      <x:c r="F6" s="23" t="str">
        <x:v>降低顺序偏差</x:v>
      </x:c>
    </x:row>
    <x:row r="7" ht="58" customHeight="1">
      <x:c r="A7" s="13" t="str">
        <x:v>4 · 完全隔离</x:v>
      </x:c>
      <x:c r="B7" s="13" t="str">
        <x:v>每组复制 DATA、任务、Verifier 副本、OpenCode 状态与 session。</x:v>
      </x:c>
      <x:c r="C7" s="13" t="str">
        <x:v>本组副本</x:v>
      </x:c>
      <x:c r="D7" s="13" t="str">
        <x:v>其他试验文件与会话</x:v>
      </x:c>
      <x:c r="E7" s="13" t="str">
        <x:v>9 session_id</x:v>
      </x:c>
      <x:c r="F7" s="13" t="str">
        <x:v>仅共享依赖缓存</x:v>
      </x:c>
    </x:row>
    <x:row r="8" ht="58" customHeight="1">
      <x:c r="A8" s="23" t="str">
        <x:v>5 · No-Skill</x:v>
      </x:c>
      <x:c r="B8" s="23" t="str">
        <x:v>不复制任务 Skill。</x:v>
      </x:c>
      <x:c r="C8" s="23" t="str">
        <x:v>task.md、DATA、question.txt</x:v>
      </x:c>
      <x:c r="D8" s="23" t="str">
        <x:v>模块</x:v>
      </x:c>
      <x:c r="E8" s="23" t="str">
        <x:v>初始模块=[]</x:v>
      </x:c>
      <x:c r="F8" s="23" t="str">
        <x:v>基线</x:v>
      </x:c>
    </x:row>
    <x:row r="9" ht="58" customHeight="1">
      <x:c r="A9" s="13" t="str">
        <x:v>6 · Native</x:v>
      </x:c>
      <x:c r="B9" s="13" t="str">
        <x:v>首轮复制完整原始 enterprise-artifact-search 模块。</x:v>
      </x:c>
      <x:c r="C9" s="13" t="str">
        <x:v>完整模块</x:v>
      </x:c>
      <x:c r="D9" s="13" t="str">
        <x:v>无</x:v>
      </x:c>
      <x:c r="E9" s="13" t="str">
        <x:v>初始模块记录</x:v>
      </x:c>
      <x:c r="F9" s="13" t="str">
        <x:v>前置完整暴露</x:v>
      </x:c>
    </x:row>
    <x:row r="10" ht="58" customHeight="1">
      <x:c r="A10" s="23" t="str">
        <x:v>7 · PD-VISTA</x:v>
      </x:c>
      <x:c r="B10" s="23" t="str">
        <x:v>首轮仅 VISTA.md；失败后路由最多披露一个模块。</x:v>
      </x:c>
      <x:c r="C10" s="23" t="str">
        <x:v>根路由 / 已披露模块</x:v>
      </x:c>
      <x:c r="D10" s="23" t="str">
        <x:v>控制器侧模块</x:v>
      </x:c>
      <x:c r="E10" s="23" t="str">
        <x:v>披露与访问字段</x:v>
      </x:c>
      <x:c r="F10" s="23" t="str">
        <x:v>渐进披露</x:v>
      </x:c>
    </x:row>
    <x:row r="11" ht="58" customHeight="1">
      <x:c r="A11" s="13" t="str">
        <x:v>8 · 统一验证</x:v>
      </x:c>
      <x:c r="B11" s="13" t="str">
        <x:v>每轮执行相同完整原始 pytest Verifier，向模型只返回清洗公开反馈。</x:v>
      </x:c>
      <x:c r="C11" s="13" t="str">
        <x:v>安全失败类别</x:v>
      </x:c>
      <x:c r="D11" s="13" t="str">
        <x:v>预期答案列表</x:v>
      </x:c>
      <x:c r="E11" s="13" t="str">
        <x:v>verifier-turn-N.txt</x:v>
      </x:c>
      <x:c r="F11" s="13" t="str">
        <x:v>避免 oracle 泄露</x:v>
      </x:c>
    </x:row>
    <x:row r="12" ht="58" customHeight="1">
      <x:c r="A12" s="23" t="str">
        <x:v>9 · 超时容错</x:v>
      </x:c>
      <x:c r="B12" s="23" t="str">
        <x:v>420 秒后仍验证已写 answer.json；失败则同 session 继续。</x:v>
      </x:c>
      <x:c r="C12" s="23" t="str">
        <x:v>公开诊断</x:v>
      </x:c>
      <x:c r="D12" s="23" t="str">
        <x:v>内部运行状态</x:v>
      </x:c>
      <x:c r="E12" s="23" t="str">
        <x:v>model_turn_timeout</x:v>
      </x:c>
      <x:c r="F12" s="23" t="str">
        <x:v>沿用 task1</x:v>
      </x:c>
    </x:row>
    <x:row r="13" ht="58" customHeight="1">
      <x:c r="A13" s="13" t="str">
        <x:v>10 · 429 处理</x:v>
      </x:c>
      <x:c r="B13" s="13" t="str">
        <x:v>服务端 429 标为 isolated api_error；不伪造重试或跨会话恢复。</x:v>
      </x:c>
      <x:c r="C13" s="13" t="str">
        <x:v>无额外信息</x:v>
      </x:c>
      <x:c r="D13" s="13" t="str">
        <x:v>其他任务状态</x:v>
      </x:c>
      <x:c r="E13" s="13" t="str">
        <x:v>result.json</x:v>
      </x:c>
      <x:c r="F13" s="13" t="str">
        <x:v>基础设施隔离</x:v>
      </x:c>
    </x:row>
    <x:row r="14" ht="58" customHeight="1">
      <x:c r="A14" s="23" t="str">
        <x:v>11 · 后验审计</x:v>
      </x:c>
      <x:c r="B14" s="23" t="str">
        <x:v>逐一只读 opencode.db，核对模型、费用与唯一 session。</x:v>
      </x:c>
      <x:c r="C14" s="23" t="str">
        <x:v>无</x:v>
      </x:c>
      <x:c r="D14" s="23" t="str">
        <x:v>数据库原始记录</x:v>
      </x:c>
      <x:c r="E14" s="23" t="str">
        <x:v>posthoc-audit.json</x:v>
      </x:c>
      <x:c r="F14" s="23" t="str">
        <x:v>可复核汇总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47" hidden="0" customWidth="1"/>
    <x:col min="4" max="4" width="105" hidden="0" customWidth="1"/>
    <x:col min="5" max="5" width="28" hidden="0" customWidth="1"/>
    <x:col min="6" max="6" width="30" hidden="0" customWidth="1"/>
  </x:cols>
  <x:sheetData>
    <x:row r="1" ht="30" customHeight="1">
      <x:c r="A1" s="3" t="str">
        <x:v>三条件及失败反馈：原始提示词与中文说明</x:v>
      </x:c>
      <x:c r="B1" s="3"/>
      <x:c r="C1" s="3"/>
      <x:c r="D1" s="3"/>
      <x:c r="E1" s="3"/>
      <x:c r="F1" s="3"/>
    </x:row>
    <x:row r="3">
      <x:c r="A3" s="22" t="str">
        <x:v>条件/阶段</x:v>
      </x:c>
      <x:c r="B3" s="22" t="str">
        <x:v>轮次</x:v>
      </x:c>
      <x:c r="C3" s="22" t="str">
        <x:v>中文说明</x:v>
      </x:c>
      <x:c r="D3" s="22" t="str">
        <x:v>原始英文提示词/模板</x:v>
      </x:c>
      <x:c r="E3" s="22" t="str">
        <x:v>技能可见性</x:v>
      </x:c>
      <x:c r="F3" s="22" t="str">
        <x:v>规则</x:v>
      </x:c>
    </x:row>
    <x:row r="4" ht="98" customHeight="1">
      <x:c r="A4" s="23" t="str">
        <x:v>共同基础</x:v>
      </x:c>
      <x:c r="B4" s="23" t="str">
        <x:v>首轮</x:v>
      </x:c>
      <x:c r="C4" s="23" t="str">
        <x:v>三条件完全一致的任务、目录映射、JSON 输出与 token 要求。</x:v>
      </x:c>
      <x:c r="D4" s="23" t="str">
        <x:v>Solve the isolated enterprise-information-search task in this directory. Work only inside this directory and do not access parent or external directories. First read task.md and question.txt. On this host, /root/DATA maps to ./DATA, /root/question.txt maps to ./question.txt, and /root/answer.json maps to ./answer.json. Search the local DATA artifacts, answer every question accurately, and write ./answer.json in the exact requested JSON structure. Include a positive numeric tokens field for every question. You may use ordinary local shell/Python tools to inspect only this workspace. The controller runs the complete acceptance check privately.</x:v>
      </x:c>
      <x:c r="E4" s="23" t="str">
        <x:v>任务材料</x:v>
      </x:c>
      <x:c r="F4" s="23" t="str">
        <x:v>完全一致</x:v>
      </x:c>
    </x:row>
    <x:row r="5" ht="98" customHeight="1">
      <x:c r="A5" s="13" t="str">
        <x:v>No-Skill</x:v>
      </x:c>
      <x:c r="B5" s="13" t="str">
        <x:v>首轮</x:v>
      </x:c>
      <x:c r="C5" s="13" t="str">
        <x:v>无任务 Skill。</x:v>
      </x:c>
      <x:c r="D5" s="13" t="str">
        <x:v>Solve the isolated enterprise-information-search task in this directory. Work only inside this directory and do not access parent or external directories. First read task.md and question.txt. On this host, /root/DATA maps to ./DATA, /root/question.txt maps to ./question.txt, and /root/answer.json maps to ./answer.json. Search the local DATA artifacts, answer every question accurately, and write ./answer.json in the exact requested JSON structure. Include a positive numeric tokens field for every question. You may use ordinary local shell/Python tools to inspect only this workspace. The controller runs the complete acceptance check privately. No task Skill is available in this condition.</x:v>
      </x:c>
      <x:c r="E5" s="13" t="str">
        <x:v>无</x:v>
      </x:c>
      <x:c r="F5" s="13" t="str">
        <x:v>基线</x:v>
      </x:c>
    </x:row>
    <x:row r="6" ht="98" customHeight="1">
      <x:c r="A6" s="23" t="str">
        <x:v>Native</x:v>
      </x:c>
      <x:c r="B6" s="23" t="str">
        <x:v>首轮</x:v>
      </x:c>
      <x:c r="C6" s="23" t="str">
        <x:v>首轮完整提供原始模块。</x:v>
      </x:c>
      <x:c r="D6" s="23" t="str">
        <x:v>Solve the isolated enterprise-information-search task in this directory. Work only inside this directory and do not access parent or external directories. First read task.md and question.txt. On this host, /root/DATA maps to ./DATA, /root/question.txt maps to ./question.txt, and /root/answer.json maps to ./answer.json. Search the local DATA artifacts, answer every question accurately, and write ./answer.json in the exact requested JSON structure. Include a positive numeric tokens field for every question. You may use ordinary local shell/Python tools to inspect only this workspace. The controller runs the complete acceptance check privately. The full original guidance module is available at ./modules/enterprise-artifact-search/SKILL.md; read and use it.</x:v>
      </x:c>
      <x:c r="E6" s="23" t="str">
        <x:v>完整原始模块</x:v>
      </x:c>
      <x:c r="F6" s="23" t="str">
        <x:v>前置暴露</x:v>
      </x:c>
    </x:row>
    <x:row r="7" ht="98" customHeight="1">
      <x:c r="A7" s="13" t="str">
        <x:v>PD-VISTA</x:v>
      </x:c>
      <x:c r="B7" s="13" t="str">
        <x:v>首轮</x:v>
      </x:c>
      <x:c r="C7" s="13" t="str">
        <x:v>只给根路由；失败后最多披露一个模块。</x:v>
      </x:c>
      <x:c r="D7" s="13" t="str">
        <x:v>Solve the isolated enterprise-information-search task in this directory. Work only inside this directory and do not access parent or external directories. First read task.md and question.txt. On this host, /root/DATA maps to ./DATA, /root/question.txt maps to ./question.txt, and /root/answer.json maps to ./answer.json. Search the local DATA artifacts, answer every question accurately, and write ./answer.json in the exact requested JSON structure. Include a positive numeric tokens field for every question. You may use ordinary local shell/Python tools to inspect only this workspace. The controller runs the complete acceptance check privately. Read VISTA.md. The original guidance module is initially hidden; after a public acceptance failure, VISTA may disclose one relevant module at ./modules/enterprise-artifact-search/SKILL.md.</x:v>
      </x:c>
      <x:c r="E7" s="13" t="str">
        <x:v>仅 VISTA.md</x:v>
      </x:c>
      <x:c r="F7" s="13" t="str">
        <x:v>渐进披露</x:v>
      </x:c>
    </x:row>
    <x:row r="8" ht="98" customHeight="1">
      <x:c r="A8" s="23" t="str">
        <x:v>失败反馈</x:v>
      </x:c>
      <x:c r="B8" s="23" t="str">
        <x:v>第 2–6 轮</x:v>
      </x:c>
      <x:c r="C8" s="23" t="str">
        <x:v>三条件收到同样清洗后的公开类别与诊断。</x:v>
      </x:c>
      <x:c r="D8" s="23" t="str">
        <x:v>The public acceptance check failed with &lt;feedback_types&gt;. Public diagnostic: &lt;diagnostic&gt;. &lt;condition instruction&gt; Continue in the same session, work only inside this directory, and repair ./answer.json.</x:v>
      </x:c>
      <x:c r="E8" s="23" t="str">
        <x:v>按条件</x:v>
      </x:c>
      <x:c r="F8" s="23" t="str">
        <x:v>不泄露期望答案</x:v>
      </x:c>
    </x:row>
    <x:row r="9" ht="98" customHeight="1">
      <x:c r="A9" s="13" t="str">
        <x:v>PD 新披露</x:v>
      </x:c>
      <x:c r="B9" s="13" t="str">
        <x:v>披露后</x:v>
      </x:c>
      <x:c r="C9" s="13" t="str">
        <x:v>要求下一轮先读本次模块。</x:v>
      </x:c>
      <x:c r="D9" s="13" t="str">
        <x:v>VISTA disclosed ./modules/enterprise-artifact-search/SKILL.md. Read it before repairing.</x:v>
      </x:c>
      <x:c r="E9" s="13" t="str">
        <x:v>新增一个模块</x:v>
      </x:c>
      <x:c r="F9" s="13" t="str">
        <x:v>记录后续访问</x:v>
      </x:c>
    </x:row>
    <x:row r="10" ht="98" customHeight="1">
      <x:c r="A10" s="23" t="str">
        <x:v>PD 已披露</x:v>
      </x:c>
      <x:c r="B10" s="23" t="str">
        <x:v>后续</x:v>
      </x:c>
      <x:c r="C10" s="23" t="str">
        <x:v>继续使用已披露模块。</x:v>
      </x:c>
      <x:c r="D10" s="23" t="str">
        <x:v>Use the already disclosed module: enterprise-artifact-search.</x:v>
      </x:c>
      <x:c r="E10" s="23" t="str">
        <x:v>仅已披露</x:v>
      </x:c>
      <x:c r="F10" s="23" t="str">
        <x:v>不访问隐藏源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2" hidden="0" customWidth="1"/>
    <x:col min="4" max="4" width="12" hidden="0" customWidth="1"/>
    <x:col min="5" max="5" width="32" hidden="0" customWidth="1"/>
    <x:col min="6" max="6" width="32" hidden="0" customWidth="1"/>
    <x:col min="7" max="7" width="14" hidden="0" customWidth="1"/>
    <x:col min="8" max="8" width="18" hidden="0" customWidth="1"/>
    <x:col min="9" max="9" width="42" hidden="0" customWidth="1"/>
    <x:col min="10" max="10" width="45" hidden="0" customWidth="1"/>
  </x:cols>
  <x:sheetData>
    <x:row r="1" ht="30" customHeight="1">
      <x:c r="A1" s="3" t="str">
        <x:v>PD-VISTA 披露与干净闭环证据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22" t="str">
        <x:v>重复</x:v>
      </x:c>
      <x:c r="B3" s="22" t="str">
        <x:v>首轮结果</x:v>
      </x:c>
      <x:c r="C3" s="22" t="str">
        <x:v>触发机会</x:v>
      </x:c>
      <x:c r="D3" s="22" t="str">
        <x:v>可路由</x:v>
      </x:c>
      <x:c r="E3" s="22" t="str">
        <x:v>披露模块</x:v>
      </x:c>
      <x:c r="F3" s="22" t="str">
        <x:v>后续访问</x:v>
      </x:c>
      <x:c r="G3" s="22" t="str">
        <x:v>干净闭环</x:v>
      </x:c>
      <x:c r="H3" s="22" t="str">
        <x:v>最终结果</x:v>
      </x:c>
      <x:c r="I3" s="22" t="str">
        <x:v>证据位置</x:v>
      </x:c>
      <x:c r="J3" s="22" t="str">
        <x:v>说明</x:v>
      </x:c>
    </x:row>
    <x:row r="4" ht="55" customHeight="1">
      <x:c r="A4" s="23" t="n">
        <x:v>1</x:v>
      </x:c>
      <x:c r="B4" s="23" t="str">
        <x:v>首轮通过</x:v>
      </x:c>
      <x:c r="C4" s="23" t="n">
        <x:v>0</x:v>
      </x:c>
      <x:c r="D4" s="23" t="n">
        <x:v>0</x:v>
      </x:c>
      <x:c r="E4" s="23" t="str">
        <x:v>无</x:v>
      </x:c>
      <x:c r="F4" s="23" t="str">
        <x:v>无</x:v>
      </x:c>
      <x:c r="G4" s="23" t="n">
        <x:v>0</x:v>
      </x:c>
      <x:c r="H4" s="23" t="str">
        <x:v>通过</x:v>
      </x:c>
      <x:c r="I4" s="23" t="str">
        <x:v>pd-vista/replicate-01/result.json</x:v>
      </x:c>
      <x:c r="J4" s="23" t="str">
        <x:v>首轮直接通过</x:v>
      </x:c>
    </x:row>
    <x:row r="5" ht="55" customHeight="1">
      <x:c r="A5" s="13" t="n">
        <x:v>2</x:v>
      </x:c>
      <x:c r="B5" s="13" t="str">
        <x:v>首轮失败</x:v>
      </x:c>
      <x:c r="C5" s="13" t="n">
        <x:v>1</x:v>
      </x:c>
      <x:c r="D5" s="13" t="n">
        <x:v>1</x:v>
      </x:c>
      <x:c r="E5" s="13" t="str">
        <x:v>enterprise-artifact-search</x:v>
      </x:c>
      <x:c r="F5" s="13" t="str">
        <x:v>enterprise-artifact-search</x:v>
      </x:c>
      <x:c r="G5" s="13" t="n">
        <x:v>1</x:v>
      </x:c>
      <x:c r="H5" s="13" t="str">
        <x:v>通过</x:v>
      </x:c>
      <x:c r="I5" s="13" t="str">
        <x:v>pd-vista/replicate-02/result.json</x:v>
      </x:c>
      <x:c r="J5" s="13" t="str">
        <x:v>失败→披露 enterprise-artifact-search→读取→通过</x:v>
      </x:c>
    </x:row>
    <x:row r="6" ht="55" customHeight="1">
      <x:c r="A6" s="23" t="n">
        <x:v>3</x:v>
      </x:c>
      <x:c r="B6" s="23" t="str">
        <x:v>首轮失败</x:v>
      </x:c>
      <x:c r="C6" s="23" t="n">
        <x:v>6</x:v>
      </x:c>
      <x:c r="D6" s="23" t="n">
        <x:v>6</x:v>
      </x:c>
      <x:c r="E6" s="23" t="str">
        <x:v>enterprise-artifact-search</x:v>
      </x:c>
      <x:c r="F6" s="23" t="str">
        <x:v>enterprise-artifact-search</x:v>
      </x:c>
      <x:c r="G6" s="23" t="n">
        <x:v>0</x:v>
      </x:c>
      <x:c r="H6" s="23" t="str">
        <x:v>未通过</x:v>
      </x:c>
      <x:c r="I6" s="23" t="str">
        <x:v>pd-vista/replicate-03/result.json</x:v>
      </x:c>
      <x:c r="J6" s="23" t="str">
        <x:v>历史 429 已替换；失败→披露→读取→6 轮未通过</x:v>
      </x:c>
    </x:row>
    <x:row r="7" ht="55" customHeight="1">
      <x:c r="A7" s="34" t="str">
        <x:v>汇总</x:v>
      </x:c>
      <x:c r="B7" s="34" t="str">
        <x:v>—</x:v>
      </x:c>
      <x:c r="C7" s="34" t="n">
        <x:v>7</x:v>
      </x:c>
      <x:c r="D7" s="34" t="n">
        <x:v>7</x:v>
      </x:c>
      <x:c r="E7" s="34" t="str">
        <x:v>enterprise-artifact-search</x:v>
      </x:c>
      <x:c r="F7" s="34" t="n">
        <x:v>2</x:v>
      </x:c>
      <x:c r="G7" s="34" t="n">
        <x:v>1</x:v>
      </x:c>
      <x:c r="H7" s="34" t="str">
        <x:v>2/3 通过</x:v>
      </x:c>
      <x:c r="I7" s="34" t="str">
        <x:v>posthoc-audit.json</x:v>
      </x:c>
      <x:c r="J7" s="34" t="str">
        <x:v>一组形成可审计干净闭环</x:v>
      </x:c>
    </x:row>
  </x:sheetData>
  <x:mergeCells>
    <x:mergeCell ref="A1:J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5" hidden="0" customWidth="1"/>
    <x:col min="3" max="3" width="28" hidden="0" customWidth="1"/>
    <x:col min="4" max="4" width="45" hidden="0" customWidth="1"/>
    <x:col min="5" max="5" width="50" hidden="0" customWidth="1"/>
  </x:cols>
  <x:sheetData>
    <x:row r="1" ht="30" customHeight="1">
      <x:c r="A1" s="3" t="str">
        <x:v>JSON 字段 → 中文工作簿字段映射</x:v>
      </x:c>
      <x:c r="B1" s="3"/>
      <x:c r="C1" s="3"/>
      <x:c r="D1" s="3"/>
      <x:c r="E1" s="3"/>
    </x:row>
    <x:row r="3">
      <x:c r="A3" s="22" t="str">
        <x:v>JSON 区域</x:v>
      </x:c>
      <x:c r="B3" s="22" t="str">
        <x:v>JSON 路径</x:v>
      </x:c>
      <x:c r="C3" s="22" t="str">
        <x:v>工作簿位置</x:v>
      </x:c>
      <x:c r="D3" s="22" t="str">
        <x:v>含义</x:v>
      </x:c>
      <x:c r="E3" s="22" t="str">
        <x:v>来源</x:v>
      </x:c>
    </x:row>
    <x:row r="4" ht="42" customHeight="1">
      <x:c r="A4" s="23" t="str">
        <x:v>运行</x:v>
      </x:c>
      <x:c r="B4" s="23" t="str">
        <x:v>run_id</x:v>
      </x:c>
      <x:c r="C4" s="23" t="str">
        <x:v>实验总览!B3</x:v>
      </x:c>
      <x:c r="D4" s="23" t="str">
        <x:v>唯一正式批次</x:v>
      </x:c>
      <x:c r="E4" s="23" t="str">
        <x:v>posthoc-audit.json</x:v>
      </x:c>
    </x:row>
    <x:row r="5" ht="42" customHeight="1">
      <x:c r="A5" s="13" t="str">
        <x:v>运行</x:v>
      </x:c>
      <x:c r="B5" s="13" t="str">
        <x:v>completed_trials / unique_sessions</x:v>
      </x:c>
      <x:c r="C5" s="13" t="str">
        <x:v>实验总览!B6:B7</x:v>
      </x:c>
      <x:c r="D5" s="13" t="str">
        <x:v>9 组与 9 会话</x:v>
      </x:c>
      <x:c r="E5" s="13" t="str">
        <x:v>posthoc-audit.json</x:v>
      </x:c>
    </x:row>
    <x:row r="6" ht="42" customHeight="1">
      <x:c r="A6" s="23" t="str">
        <x:v>模型</x:v>
      </x:c>
      <x:c r="B6" s="23" t="str">
        <x:v>model_identity</x:v>
      </x:c>
      <x:c r="C6" s="23" t="str">
        <x:v>实验总览!B9</x:v>
      </x:c>
      <x:c r="D6" s="23" t="str">
        <x:v>逐 DB 确认实际模型</x:v>
      </x:c>
      <x:c r="E6" s="23" t="str">
        <x:v>opencode.db 只读</x:v>
      </x:c>
    </x:row>
    <x:row r="7" ht="42" customHeight="1">
      <x:c r="A7" s="13" t="str">
        <x:v>条件</x:v>
      </x:c>
      <x:c r="B7" s="13" t="str">
        <x:v>conditions.*</x:v>
      </x:c>
      <x:c r="C7" s="13" t="str">
        <x:v>实验总览 / Token与成本</x:v>
      </x:c>
      <x:c r="D7" s="13" t="str">
        <x:v>条件汇总</x:v>
      </x:c>
      <x:c r="E7" s="13" t="str">
        <x:v>posthoc-audit.json</x:v>
      </x:c>
    </x:row>
    <x:row r="8" ht="42" customHeight="1">
      <x:c r="A8" s="23" t="str">
        <x:v>试验</x:v>
      </x:c>
      <x:c r="B8" s="23" t="str">
        <x:v>result.json</x:v>
      </x:c>
      <x:c r="C8" s="23" t="str">
        <x:v>9组明细!A4:AB12</x:v>
      </x:c>
      <x:c r="D8" s="23" t="str">
        <x:v>逐组执行与结果</x:v>
      </x:c>
      <x:c r="E8" s="23" t="str">
        <x:v>9 个 result.json</x:v>
      </x:c>
    </x:row>
    <x:row r="9" ht="42" customHeight="1">
      <x:c r="A9" s="13" t="str">
        <x:v>Token</x:v>
      </x:c>
      <x:c r="B9" s="13" t="str">
        <x:v>usage.input_tokens</x:v>
      </x:c>
      <x:c r="C9" s="13" t="str">
        <x:v>9组明细!J</x:v>
      </x:c>
      <x:c r="D9" s="13" t="str">
        <x:v>输入 Token</x:v>
      </x:c>
      <x:c r="E9" s="13" t="str">
        <x:v>turn JSONL 汇总</x:v>
      </x:c>
    </x:row>
    <x:row r="10" ht="42" customHeight="1">
      <x:c r="A10" s="23" t="str">
        <x:v>Token</x:v>
      </x:c>
      <x:c r="B10" s="23" t="str">
        <x:v>usage.output_tokens</x:v>
      </x:c>
      <x:c r="C10" s="23" t="str">
        <x:v>9组明细!K</x:v>
      </x:c>
      <x:c r="D10" s="23" t="str">
        <x:v>输出 Token</x:v>
      </x:c>
      <x:c r="E10" s="23" t="str">
        <x:v>turn JSONL 汇总</x:v>
      </x:c>
    </x:row>
    <x:row r="11" ht="42" customHeight="1">
      <x:c r="A11" s="13" t="str">
        <x:v>Token</x:v>
      </x:c>
      <x:c r="B11" s="13" t="str">
        <x:v>usage.cache_read_tokens</x:v>
      </x:c>
      <x:c r="C11" s="13" t="str">
        <x:v>9组明细!L</x:v>
      </x:c>
      <x:c r="D11" s="13" t="str">
        <x:v>缓存读取</x:v>
      </x:c>
      <x:c r="E11" s="13" t="str">
        <x:v>turn JSONL 汇总</x:v>
      </x:c>
    </x:row>
    <x:row r="12" ht="42" customHeight="1">
      <x:c r="A12" s="23" t="str">
        <x:v>成本</x:v>
      </x:c>
      <x:c r="B12" s="23" t="str">
        <x:v>opencode_db.recorded_cost</x:v>
      </x:c>
      <x:c r="C12" s="23" t="str">
        <x:v>9组明细!O</x:v>
      </x:c>
      <x:c r="D12" s="23" t="str">
        <x:v>OpenCode 记录费用</x:v>
      </x:c>
      <x:c r="E12" s="23" t="str">
        <x:v>逐 DB 只读</x:v>
      </x:c>
    </x:row>
    <x:row r="13" ht="42" customHeight="1">
      <x:c r="A13" s="13" t="str">
        <x:v>会话</x:v>
      </x:c>
      <x:c r="B13" s="13" t="str">
        <x:v>session_id</x:v>
      </x:c>
      <x:c r="C13" s="13" t="str">
        <x:v>9组明细!P</x:v>
      </x:c>
      <x:c r="D13" s="13" t="str">
        <x:v>唯一 OpenCode session</x:v>
      </x:c>
      <x:c r="E13" s="13" t="str">
        <x:v>result.json + DB</x:v>
      </x:c>
    </x:row>
    <x:row r="14" ht="42" customHeight="1">
      <x:c r="A14" s="23" t="str">
        <x:v>模型</x:v>
      </x:c>
      <x:c r="B14" s="23" t="str">
        <x:v>opencode_db.provider_ids/model_ids</x:v>
      </x:c>
      <x:c r="C14" s="23" t="str">
        <x:v>9组明细!Q:R</x:v>
      </x:c>
      <x:c r="D14" s="23" t="str">
        <x:v>实际身份</x:v>
      </x:c>
      <x:c r="E14" s="23" t="str">
        <x:v>逐 DB 只读</x:v>
      </x:c>
    </x:row>
    <x:row r="15" ht="42" customHeight="1">
      <x:c r="A15" s="13" t="str">
        <x:v>验收</x:v>
      </x:c>
      <x:c r="B15" s="13" t="str">
        <x:v>final_verifier_pass</x:v>
      </x:c>
      <x:c r="C15" s="13" t="str">
        <x:v>9组明细!E</x:v>
      </x:c>
      <x:c r="D15" s="13" t="str">
        <x:v>最终 Verifier</x:v>
      </x:c>
      <x:c r="E15" s="13" t="str">
        <x:v>最终 verifier-turn-N.txt</x:v>
      </x:c>
    </x:row>
    <x:row r="16" ht="42" customHeight="1">
      <x:c r="A16" s="23" t="str">
        <x:v>超时</x:v>
      </x:c>
      <x:c r="B16" s="23" t="str">
        <x:v>turns[*].model_turn_timeout</x:v>
      </x:c>
      <x:c r="C16" s="23" t="str">
        <x:v>9组明细!G</x:v>
      </x:c>
      <x:c r="D16" s="23" t="str">
        <x:v>收尾超时数</x:v>
      </x:c>
      <x:c r="E16" s="23" t="str">
        <x:v>result.json</x:v>
      </x:c>
    </x:row>
    <x:row r="17" ht="42" customHeight="1">
      <x:c r="A17" s="13" t="str">
        <x:v>披露</x:v>
      </x:c>
      <x:c r="B17" s="13" t="str">
        <x:v>vista_metrics.*</x:v>
      </x:c>
      <x:c r="C17" s="13" t="str">
        <x:v>9组明细!V:Z</x:v>
      </x:c>
      <x:c r="D17" s="13" t="str">
        <x:v>触发、披露、访问、闭环</x:v>
      </x:c>
      <x:c r="E17" s="13" t="str">
        <x:v>result.json</x:v>
      </x:c>
    </x:row>
    <x:row r="18" ht="42" customHeight="1">
      <x:c r="A18" s="23" t="str">
        <x:v>排除</x:v>
      </x:c>
      <x:c r="B18" s="23" t="str">
        <x:v>excluded_runs</x:v>
      </x:c>
      <x:c r="C18" s="23" t="str">
        <x:v>实验总览!B29</x:v>
      </x:c>
      <x:c r="D18" s="23" t="str">
        <x:v>仅诊断批次</x:v>
      </x:c>
      <x:c r="E18" s="23" t="str">
        <x:v>posthoc-audit.json</x:v>
      </x:c>
    </x:row>
    <x:row r="19" ht="42" customHeight="1">
      <x:c r="A19" s="13" t="str">
        <x:v>路线</x:v>
      </x:c>
      <x:c r="B19" s="13" t="str">
        <x:v>docker_used / skillbench_execution_route_used</x:v>
      </x:c>
      <x:c r="C19" s="13" t="str">
        <x:v>实验总览!B10</x:v>
      </x:c>
      <x:c r="D19" s="13" t="str">
        <x:v>平台路线断言</x:v>
      </x:c>
      <x:c r="E19" s="13" t="str">
        <x:v>posthoc-audit.json</x:v>
      </x:c>
    </x:row>
    <x:row r="20" ht="42" customHeight="1">
      <x:c r="A20" s="23" t="str">
        <x:v>提示词</x:v>
      </x:c>
      <x:c r="B20" s="23" t="str">
        <x:v>COMMON_PROMPT / INITIAL_PROMPTS</x:v>
      </x:c>
      <x:c r="C20" s="23" t="str">
        <x:v>条件提示词</x:v>
      </x:c>
      <x:c r="D20" s="23" t="str">
        <x:v>原始提示词</x:v>
      </x:c>
      <x:c r="E20" s="23" t="str">
        <x:v>runner 源码</x:v>
      </x:c>
    </x:row>
    <x:row r="21" ht="42" customHeight="1">
      <x:c r="A21" s="13" t="str">
        <x:v>反馈</x:v>
      </x:c>
      <x:c r="B21" s="13" t="str">
        <x:v>public_feedback</x:v>
      </x:c>
      <x:c r="C21" s="13" t="str">
        <x:v>条件提示词</x:v>
      </x:c>
      <x:c r="D21" s="13" t="str">
        <x:v>清洗公开反馈</x:v>
      </x:c>
      <x:c r="E21" s="13" t="str">
        <x:v>runner 源码</x:v>
      </x:c>
    </x:row>
  </x:sheetData>
  <x:mergeCells>
    <x:mergeCell ref="A1:E1"/>
  </x:mergeCells>
  <x:pageMargins left="0.7" right="0.7" top="0.75" bottom="0.75" header="0.3" footer="0.3"/>
</x:worksheet>
</file>