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c5be16d52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总览" sheetId="1" r:id="R1ab8dd2aad5d4bc7"/>
    <x:sheet xmlns:r="http://schemas.openxmlformats.org/officeDocument/2006/relationships" name="9组明细" sheetId="2" r:id="R8d9c0d51600741df"/>
    <x:sheet xmlns:r="http://schemas.openxmlformats.org/officeDocument/2006/relationships" name="Token与成本" sheetId="3" r:id="Rfccee92939bb40cd"/>
    <x:sheet xmlns:r="http://schemas.openxmlformats.org/officeDocument/2006/relationships" name="方法与流程" sheetId="4" r:id="R54109c7c378749af"/>
    <x:sheet xmlns:r="http://schemas.openxmlformats.org/officeDocument/2006/relationships" name="三种条件及失败反馈" sheetId="5" r:id="R95d06d1ac2914b42"/>
    <x:sheet xmlns:r="http://schemas.openxmlformats.org/officeDocument/2006/relationships" name="PD-VISTA披露证据" sheetId="6" r:id="Re94f2c00a0014482"/>
    <x:sheet xmlns:r="http://schemas.openxmlformats.org/officeDocument/2006/relationships" name="排除与诊断" sheetId="7" r:id="R0b973214b11b4a6d"/>
    <x:sheet xmlns:r="http://schemas.openxmlformats.org/officeDocument/2006/relationships" name="字段映射" sheetId="8" r:id="Rb95e24089b62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.0000"/>
    <x:numFmt numFmtId="202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6B2A"/>
      <x:name val="Carlito"/>
    </x:font>
    <x:font>
      <x:i/>
      <x:sz val="9"/>
      <x:color rgb="FF1F2937"/>
      <x:name val="Carlito"/>
    </x:font>
    <x:font>
      <x:sz val="9"/>
      <x:color rgb="FF1F2937"/>
      <x:name val="Courier New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F0F7E9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right" vertical="top" wrapText="1"/>
    </x:xf>
    <x:xf numFmtId="0" fontId="4" fillId="0" borderId="1" xfId="0" applyNumberFormat="1" applyFont="1" applyFill="1" applyBorder="1" applyAlignment="1">
      <x:alignment horizontal="right" vertical="top" wrapText="1"/>
    </x:xf>
    <x:xf numFmtId="200" fontId="4" fillId="5" borderId="1" xfId="0" applyNumberFormat="1" applyFont="1" applyFill="1" applyBorder="1" applyAlignment="1">
      <x:alignment horizontal="right" vertical="top" wrapText="1"/>
    </x:xf>
    <x:xf numFmtId="200" fontId="4" fillId="0" borderId="1" xfId="0" applyNumberFormat="1" applyFont="1" applyFill="1" applyBorder="1" applyAlignment="1">
      <x:alignment horizontal="right" vertical="top" wrapText="1"/>
    </x:xf>
    <x:xf numFmtId="201" fontId="4" fillId="5" borderId="1" xfId="0" applyNumberFormat="1" applyFont="1" applyFill="1" applyBorder="1" applyAlignment="1">
      <x:alignment horizontal="right" vertical="top" wrapText="1"/>
    </x:xf>
    <x:xf numFmtId="201" fontId="4" fillId="0" borderId="1" xfId="0" applyNumberFormat="1" applyFont="1" applyFill="1" applyBorder="1" applyAlignment="1">
      <x:alignment horizontal="right"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right" wrapText="1"/>
    </x:xf>
    <x:xf numFmtId="0" fontId="4" fillId="6" borderId="1" xfId="0" applyNumberFormat="1" applyFont="1" applyFill="1" applyBorder="1" applyAlignment="1">
      <x:alignment horizontal="left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wrapText="0"/>
    </x:xf>
    <x:xf numFmtId="0" fontId="4" fillId="0" borderId="1" xfId="0" applyNumberFormat="1" applyFont="1" applyFill="1" applyBorder="1" applyAlignment="1">
      <x:alignment vertical="top" wrapText="0"/>
    </x:xf>
    <x:xf numFmtId="0" fontId="4" fillId="5" borderId="1" xfId="0" applyNumberFormat="1" applyFont="1" applyFill="1" applyBorder="1" applyAlignment="1">
      <x:alignment vertical="top" wrapText="0"/>
    </x:xf>
    <x:xf numFmtId="0" fontId="4" fillId="8" borderId="1" xfId="0" applyNumberFormat="1" applyFont="1" applyFill="1" applyBorder="1" applyAlignment="1">
      <x:alignment vertical="top" wrapText="0"/>
    </x:xf>
    <x:xf numFmtId="0" fontId="3" fillId="8" borderId="1" xfId="0" applyNumberFormat="1" applyFont="1" applyFill="1" applyBorder="1" applyAlignment="1">
      <x:alignment vertical="top" wrapText="0"/>
    </x:xf>
    <x:xf numFmtId="202" fontId="4" fillId="5" borderId="1" xfId="0" applyNumberFormat="1" applyFont="1" applyFill="1" applyBorder="1" applyAlignment="1">
      <x:alignment vertical="top" wrapText="0"/>
    </x:xf>
    <x:xf numFmtId="202" fontId="4" fillId="0" borderId="1" xfId="0" applyNumberFormat="1" applyFont="1" applyFill="1" applyBorder="1" applyAlignment="1">
      <x:alignment vertical="top" wrapText="0"/>
    </x:xf>
    <x:xf numFmtId="202" fontId="3" fillId="8" borderId="1" xfId="0" applyNumberFormat="1" applyFont="1" applyFill="1" applyBorder="1" applyAlignment="1">
      <x:alignment vertical="top" wrapText="0"/>
    </x:xf>
    <x:xf numFmtId="200" fontId="4" fillId="5" borderId="1" xfId="0" applyNumberFormat="1" applyFont="1" applyFill="1" applyBorder="1" applyAlignment="1">
      <x:alignment vertical="top" wrapText="0"/>
    </x:xf>
    <x:xf numFmtId="200" fontId="4" fillId="0" borderId="1" xfId="0" applyNumberFormat="1" applyFont="1" applyFill="1" applyBorder="1" applyAlignment="1">
      <x:alignment vertical="top" wrapText="0"/>
    </x:xf>
    <x:xf numFmtId="200" fontId="3" fillId="8" borderId="1" xfId="0" applyNumberFormat="1" applyFont="1" applyFill="1" applyBorder="1" applyAlignment="1">
      <x:alignment vertical="top" wrapText="0"/>
    </x:xf>
    <x:xf numFmtId="201" fontId="4" fillId="5" borderId="1" xfId="0" applyNumberFormat="1" applyFont="1" applyFill="1" applyBorder="1" applyAlignment="1">
      <x:alignment vertical="top" wrapText="0"/>
    </x:xf>
    <x:xf numFmtId="201" fontId="4" fillId="0" borderId="1" xfId="0" applyNumberFormat="1" applyFont="1" applyFill="1" applyBorder="1" applyAlignment="1">
      <x:alignment vertical="top" wrapText="0"/>
    </x:xf>
    <x:xf numFmtId="201" fontId="3" fillId="8" borderId="1" xfId="0" applyNumberFormat="1" applyFont="1" applyFill="1" applyBorder="1" applyAlignment="1">
      <x:alignment vertical="top" wrapText="0"/>
    </x:xf>
    <x:xf numFmtId="0" fontId="4" fillId="9" borderId="1" xfId="0" applyNumberFormat="1" applyFont="1" applyFill="1" applyBorder="1" applyAlignment="1">
      <x:alignment vertical="top" wrapText="0"/>
    </x:xf>
    <x:xf numFmtId="0" fontId="6" fillId="9" borderId="1" xfId="0" applyNumberFormat="1" applyFont="1" applyFill="1" applyBorder="1" applyAlignment="1">
      <x:alignment vertical="top" wrapText="0"/>
    </x:xf>
    <x:xf numFmtId="0" fontId="6" fillId="9" borderId="1" xfId="0" applyNumberFormat="1" applyFont="1" applyFill="1" applyBorder="1" applyAlignment="1">
      <x:alignment horizontal="center" vertical="top" wrapText="0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F6B2A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a3d9786964167" /><Relationship Type="http://schemas.openxmlformats.org/officeDocument/2006/relationships/theme" Target="/xl/theme/theme1.xml" Id="R9a614647d2e245da" /><Relationship Type="http://schemas.openxmlformats.org/officeDocument/2006/relationships/sharedStrings" Target="/xl/sharedStrings.xml" Id="Rbc6521f3ef614043" /><Relationship Type="http://schemas.openxmlformats.org/officeDocument/2006/relationships/worksheet" Target="/xl/worksheets/sheet1.xml" Id="R1ab8dd2aad5d4bc7" /><Relationship Type="http://schemas.openxmlformats.org/officeDocument/2006/relationships/worksheet" Target="/xl/worksheets/sheet2.xml" Id="R8d9c0d51600741df" /><Relationship Type="http://schemas.openxmlformats.org/officeDocument/2006/relationships/worksheet" Target="/xl/worksheets/sheet3.xml" Id="Rfccee92939bb40cd" /><Relationship Type="http://schemas.openxmlformats.org/officeDocument/2006/relationships/worksheet" Target="/xl/worksheets/sheet4.xml" Id="R54109c7c378749af" /><Relationship Type="http://schemas.openxmlformats.org/officeDocument/2006/relationships/worksheet" Target="/xl/worksheets/sheet5.xml" Id="R95d06d1ac2914b42" /><Relationship Type="http://schemas.openxmlformats.org/officeDocument/2006/relationships/worksheet" Target="/xl/worksheets/sheet6.xml" Id="Re94f2c00a0014482" /><Relationship Type="http://schemas.openxmlformats.org/officeDocument/2006/relationships/worksheet" Target="/xl/worksheets/sheet7.xml" Id="R0b973214b11b4a6d" /><Relationship Type="http://schemas.openxmlformats.org/officeDocument/2006/relationships/worksheet" Target="/xl/worksheets/sheet8.xml" Id="Rb95e24089b6242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12" hidden="0" customWidth="1"/>
    <x:col min="4" max="4" width="12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Vista task6 · 3条件 × 3重复正式审计</x:v>
      </x:c>
      <x:c r="B1" s="4" t="str">
        <x:v>Vista task6 · 3条件 × 3重复正式审计</x:v>
      </x:c>
      <x:c r="C1" s="4" t="str">
        <x:v>Vista task6 · 3条件 × 3重复正式审计</x:v>
      </x:c>
      <x:c r="D1" s="4" t="str">
        <x:v>Vista task6 · 3条件 × 3重复正式审计</x:v>
      </x:c>
      <x:c r="E1" s="4" t="str">
        <x:v>Vista task6 · 3条件 × 3重复正式审计</x:v>
      </x:c>
      <x:c r="F1" s="4" t="str">
        <x:v>Vista task6 · 3条件 × 3重复正式审计</x:v>
      </x:c>
      <x:c r="G1" s="4" t="str">
        <x:v>Vista task6 · 3条件 × 3重复正式审计</x:v>
      </x:c>
      <x:c r="H1" s="4" t="str">
        <x:v>Vista task6 · 3条件 × 3重复正式审计</x:v>
      </x:c>
    </x:row>
    <x:row r="3">
      <x:c r="A3" s="28" t="str">
        <x:v>正式批次</x:v>
      </x:c>
      <x:c r="B3" s="32" t="str">
        <x:v>formal-task006-docker-local-3x3-minimaxm3-20260827-17</x:v>
      </x:c>
    </x:row>
    <x:row r="4">
      <x:c r="A4" s="28" t="str">
        <x:v>审计状态</x:v>
      </x:c>
      <x:c r="B4" s="34" t="str">
        <x:f>IF(COUNTA('9组明细'!$A$5:$A$13)=9,"已完成","需复核")</x:f>
        <x:v>已完成</x:v>
      </x:c>
    </x:row>
    <x:row r="5">
      <x:c r="A5" s="28" t="str">
        <x:v>正式组数</x:v>
      </x:c>
      <x:c r="B5" s="33" t="n">
        <x:f>COUNTA('9组明细'!$A$5:$A$13)</x:f>
        <x:v>9</x:v>
      </x:c>
    </x:row>
    <x:row r="6">
      <x:c r="A6" s="28" t="str">
        <x:v>最终 Verifier 通过数</x:v>
      </x:c>
      <x:c r="B6" s="33" t="n">
        <x:f>SUM('9组明细'!$X$5:$X$13)</x:f>
        <x:v>8</x:v>
      </x:c>
    </x:row>
    <x:row r="7">
      <x:c r="A7" s="28" t="str">
        <x:v>唯一 OpenCode session 数</x:v>
      </x:c>
      <x:c r="B7" s="33" t="n">
        <x:f>SUM('9组明细'!$Y$5:$Y$13)</x:f>
        <x:v>9</x:v>
      </x:c>
    </x:row>
    <x:row r="8">
      <x:c r="A8" s="28" t="str">
        <x:v>Provider / Model 一致组数</x:v>
      </x:c>
      <x:c r="B8" s="33" t="n">
        <x:f>COUNTIF('9组明细'!$F$5:$F$13,"minimax-cn/MiniMax-M3")</x:f>
        <x:v>9</x:v>
      </x:c>
    </x:row>
    <x:row r="9">
      <x:c r="A9" s="28" t="str">
        <x:v>Docker 使用组数</x:v>
      </x:c>
      <x:c r="B9" s="33" t="n">
        <x:f>COUNTIF('9组明细'!$U$5:$U$13,"是")</x:f>
        <x:v>9</x:v>
      </x:c>
    </x:row>
    <x:row r="10">
      <x:c r="A10" s="28" t="str">
        <x:v>SkillBench 执行路线组数</x:v>
      </x:c>
      <x:c r="B10" s="33" t="n">
        <x:f>COUNTIF('9组明细'!$V$5:$V$13,"否")</x:f>
        <x:v>9</x:v>
      </x:c>
    </x:row>
    <x:row r="11">
      <x:c r="A11" s="28" t="str">
        <x:v>排除的 429 尝试数</x:v>
      </x:c>
      <x:c r="B11" s="33" t="n">
        <x:f>COUNTIF('排除与诊断'!$D$5:$D$30,"429限流")</x:f>
        <x:v>7</x:v>
      </x:c>
    </x:row>
    <x:row r="12">
      <x:c r="A12" s="28" t="str">
        <x:v>总体结论</x:v>
      </x:c>
      <x:c r="B12" s="34" t="str">
        <x:f>IF(AND(B5=9,B6=8,B7=9,B8=9,B9=9),"9组完成；8组通过，No-Skill R02 未通过","需复核")</x:f>
        <x:v>9组完成；8组通过，No-Skill R02 未通过</x:v>
      </x:c>
    </x:row>
    <x:row r="14" ht="22" customHeight="1">
      <x:c r="A14" s="38" t="str">
        <x:v>三种条件汇总（公式驱动）</x:v>
      </x:c>
      <x:c r="B14" s="38" t="str">
        <x:v>三种条件汇总（公式驱动）</x:v>
      </x:c>
      <x:c r="C14" s="38" t="str">
        <x:v>三种条件汇总（公式驱动）</x:v>
      </x:c>
      <x:c r="D14" s="38" t="str">
        <x:v>三种条件汇总（公式驱动）</x:v>
      </x:c>
      <x:c r="E14" s="38" t="str">
        <x:v>三种条件汇总（公式驱动）</x:v>
      </x:c>
      <x:c r="F14" s="38" t="str">
        <x:v>三种条件汇总（公式驱动）</x:v>
      </x:c>
      <x:c r="G14" s="38" t="str">
        <x:v>三种条件汇总（公式驱动）</x:v>
      </x:c>
      <x:c r="H14" s="38" t="str">
        <x:v>三种条件汇总（公式驱动）</x:v>
      </x:c>
    </x:row>
    <x:row r="15" ht="30" customHeight="1">
      <x:c r="A15" s="13" t="str">
        <x:v>条件</x:v>
      </x:c>
      <x:c r="B15" s="13" t="str">
        <x:v>组数</x:v>
      </x:c>
      <x:c r="C15" s="13" t="str">
        <x:v>通过数</x:v>
      </x:c>
      <x:c r="D15" s="13" t="str">
        <x:v>通过率</x:v>
      </x:c>
      <x:c r="E15" s="13" t="str">
        <x:v>请求数</x:v>
      </x:c>
      <x:c r="F15" s="13" t="str">
        <x:v>输入+输出Token</x:v>
      </x:c>
      <x:c r="G15" s="13" t="str">
        <x:v>Cache-read Token</x:v>
      </x:c>
      <x:c r="H15" s="13" t="str">
        <x:v>记录费用(USD)</x:v>
      </x:c>
    </x:row>
    <x:row r="16">
      <x:c r="A16" s="41" t="str">
        <x:v>No-Skill</x:v>
      </x:c>
      <x:c r="B16" s="41" t="n">
        <x:f>COUNTIF('9组明细'!$A$5:$A$13,A16)</x:f>
        <x:v>3</x:v>
      </x:c>
      <x:c r="C16" s="41" t="n">
        <x:f>SUMIF('9组明细'!$A$5:$A$13,A16,'9组明细'!$X$5:$X$13)</x:f>
        <x:v>2</x:v>
      </x:c>
      <x:c r="D16" s="44" t="n">
        <x:f>IF(B16=0,0,C16/B16)</x:f>
        <x:v>0.6666666666666666</x:v>
      </x:c>
      <x:c r="E16" s="41" t="n">
        <x:f>SUMIF('9组明细'!$A$5:$A$13,A16,'9组明细'!$I$5:$I$13)</x:f>
        <x:v>422</x:v>
      </x:c>
      <x:c r="F16" s="47" t="n">
        <x:f>SUMIF('9组明细'!$A$5:$A$13,A16,'9组明细'!$AA$5:$AA$13)</x:f>
        <x:v>766597</x:v>
      </x:c>
      <x:c r="G16" s="47" t="n">
        <x:f>SUMIF('9组明细'!$A$5:$A$13,A16,'9组明细'!$M$5:$M$13)</x:f>
        <x:v>26995679</x:v>
      </x:c>
      <x:c r="H16" s="50" t="n">
        <x:f>SUMIF('9组明细'!$A$5:$A$13,A16,'9组明细'!$N$5:$N$13)</x:f>
        <x:v>2.0192681399999994</x:v>
      </x:c>
    </x:row>
    <x:row r="17">
      <x:c r="A17" s="40" t="str">
        <x:v>Native</x:v>
      </x:c>
      <x:c r="B17" s="40" t="n">
        <x:f>COUNTIF('9组明细'!$A$5:$A$13,A17)</x:f>
        <x:v>3</x:v>
      </x:c>
      <x:c r="C17" s="40" t="n">
        <x:f>SUMIF('9组明细'!$A$5:$A$13,A17,'9组明细'!$X$5:$X$13)</x:f>
        <x:v>3</x:v>
      </x:c>
      <x:c r="D17" s="45" t="n">
        <x:f>IF(B17=0,0,C17/B17)</x:f>
        <x:v>1</x:v>
      </x:c>
      <x:c r="E17" s="40" t="n">
        <x:f>SUMIF('9组明细'!$A$5:$A$13,A17,'9组明细'!$I$5:$I$13)</x:f>
        <x:v>535</x:v>
      </x:c>
      <x:c r="F17" s="48" t="n">
        <x:f>SUMIF('9组明细'!$A$5:$A$13,A17,'9组明细'!$AA$5:$AA$13)</x:f>
        <x:v>580608</x:v>
      </x:c>
      <x:c r="G17" s="48" t="n">
        <x:f>SUMIF('9组明细'!$A$5:$A$13,A17,'9组明细'!$M$5:$M$13)</x:f>
        <x:v>40508709</x:v>
      </x:c>
      <x:c r="H17" s="51" t="n">
        <x:f>SUMIF('9组明细'!$A$5:$A$13,A17,'9组明细'!$N$5:$N$13)</x:f>
        <x:v>2.7497012400000003</x:v>
      </x:c>
    </x:row>
    <x:row r="18">
      <x:c r="A18" s="41" t="str">
        <x:v>PD-VISTA</x:v>
      </x:c>
      <x:c r="B18" s="41" t="n">
        <x:f>COUNTIF('9组明细'!$A$5:$A$13,A18)</x:f>
        <x:v>3</x:v>
      </x:c>
      <x:c r="C18" s="41" t="n">
        <x:f>SUMIF('9组明细'!$A$5:$A$13,A18,'9组明细'!$X$5:$X$13)</x:f>
        <x:v>3</x:v>
      </x:c>
      <x:c r="D18" s="44" t="n">
        <x:f>IF(B18=0,0,C18/B18)</x:f>
        <x:v>1</x:v>
      </x:c>
      <x:c r="E18" s="41" t="n">
        <x:f>SUMIF('9组明细'!$A$5:$A$13,A18,'9组明细'!$I$5:$I$13)</x:f>
        <x:v>494</x:v>
      </x:c>
      <x:c r="F18" s="47" t="n">
        <x:f>SUMIF('9组明细'!$A$5:$A$13,A18,'9组明细'!$AA$5:$AA$13)</x:f>
        <x:v>623117</x:v>
      </x:c>
      <x:c r="G18" s="47" t="n">
        <x:f>SUMIF('9组明细'!$A$5:$A$13,A18,'9组明细'!$M$5:$M$13)</x:f>
        <x:v>36588220</x:v>
      </x:c>
      <x:c r="H18" s="50" t="n">
        <x:f>SUMIF('9组明细'!$A$5:$A$13,A18,'9组明细'!$N$5:$N$13)</x:f>
        <x:v>2.5359365999999994</x:v>
      </x:c>
    </x:row>
    <x:row r="19">
      <x:c r="A19" s="43" t="str">
        <x:v>合计</x:v>
      </x:c>
      <x:c r="B19" s="43" t="n">
        <x:f>SUM(B16:B18)</x:f>
        <x:v>9</x:v>
      </x:c>
      <x:c r="C19" s="43" t="n">
        <x:f>SUM(C16:C18)</x:f>
        <x:v>8</x:v>
      </x:c>
      <x:c r="D19" s="46" t="n">
        <x:f>IF(B19=0,0,C19/B19)</x:f>
        <x:v>0.8888888888888888</x:v>
      </x:c>
      <x:c r="E19" s="43" t="n">
        <x:f>SUM(E16:E18)</x:f>
        <x:v>1451</x:v>
      </x:c>
      <x:c r="F19" s="49" t="n">
        <x:f>SUM(F16:F18)</x:f>
        <x:v>1970322</x:v>
      </x:c>
      <x:c r="G19" s="49" t="n">
        <x:f>SUM(G16:G18)</x:f>
        <x:v>104092608</x:v>
      </x:c>
      <x:c r="H19" s="52" t="n">
        <x:f>SUM(H16:H18)</x:f>
        <x:v>7.304905979999999</x:v>
      </x:c>
    </x:row>
    <x:row r="22" ht="22" customHeight="1">
      <x:c r="A22" s="38" t="str">
        <x:v>完整性与可审计性检查</x:v>
      </x:c>
      <x:c r="B22" s="38" t="str">
        <x:v>完整性与可审计性检查</x:v>
      </x:c>
      <x:c r="C22" s="38" t="str">
        <x:v>完整性与可审计性检查</x:v>
      </x:c>
      <x:c r="D22" s="38" t="str">
        <x:v>完整性与可审计性检查</x:v>
      </x:c>
      <x:c r="E22" s="38" t="str">
        <x:v>完整性与可审计性检查</x:v>
      </x:c>
      <x:c r="F22" s="38" t="str">
        <x:v>完整性与可审计性检查</x:v>
      </x:c>
      <x:c r="G22" s="38" t="str">
        <x:v>完整性与可审计性检查</x:v>
      </x:c>
      <x:c r="H22" s="38" t="str">
        <x:v>完整性与可审计性检查</x:v>
      </x:c>
    </x:row>
    <x:row r="23">
      <x:c r="A23" s="10" t="str">
        <x:v>检查项</x:v>
      </x:c>
      <x:c r="B23" s="10" t="str">
        <x:v>结果</x:v>
      </x:c>
    </x:row>
    <x:row r="24">
      <x:c r="A24" s="40" t="str">
        <x:v>9 个结果文件齐全</x:v>
      </x:c>
      <x:c r="B24" s="55" t="str">
        <x:f>IF(B5=9,"通过","失败")</x:f>
        <x:v>通过</x:v>
      </x:c>
    </x:row>
    <x:row r="25">
      <x:c r="A25" s="40" t="str">
        <x:v>9 个 session 且各组唯一</x:v>
      </x:c>
      <x:c r="B25" s="55" t="str">
        <x:f>IF(B7=9,"通过","失败")</x:f>
        <x:v>通过</x:v>
      </x:c>
    </x:row>
    <x:row r="26">
      <x:c r="A26" s="40" t="str">
        <x:v>所有结果实际模型一致</x:v>
      </x:c>
      <x:c r="B26" s="55" t="str">
        <x:f>IF(B8=9,"通过","失败")</x:f>
        <x:v>通过</x:v>
      </x:c>
    </x:row>
    <x:row r="27">
      <x:c r="A27" s="40" t="str">
        <x:v>Docker 路线已获授权并实际使用</x:v>
      </x:c>
      <x:c r="B27" s="55" t="str">
        <x:f>IF(B9=9,"通过","失败")</x:f>
        <x:v>通过</x:v>
      </x:c>
    </x:row>
    <x:row r="28">
      <x:c r="A28" s="40" t="str">
        <x:v>SkillBench 平台执行路线未使用</x:v>
      </x:c>
      <x:c r="B28" s="55" t="str">
        <x:f>IF(B10=9,"通过","失败")</x:f>
        <x:v>通过</x:v>
      </x:c>
    </x:row>
    <x:row r="29">
      <x:c r="A29" s="40" t="str">
        <x:v>No-Skill R02 的失败被保留而非排除</x:v>
      </x:c>
      <x:c r="B29" s="55" t="str">
        <x:f>IF(COUNTIF('9组明细'!$C$5:$C$13,"No-Skill-R02")=1,"通过","失败")</x:f>
        <x:v>通过</x:v>
      </x:c>
    </x:row>
    <x:row r="30">
      <x:c r="A30" s="40" t="str">
        <x:v>公开诊断按统一清洗规则记录</x:v>
      </x:c>
      <x:c r="B30" s="55" t="str">
        <x:f>IF('方法与流程'!$B$27="是","通过","失败")</x:f>
        <x:v>通过</x:v>
      </x:c>
    </x:row>
    <x:row r="33">
      <x:c r="A33" s="57" t="str">
        <x:v>来源：outputs/formal-task006-docker-local-3x3-minimaxm3-20260827-17-audit/posthoc-audit.json；8 组 DB 审计来自上一批次完成后的只读审计缓存，PD-VISTA R03 为本批次 fresh read-only sqlite query。</x:v>
      </x:c>
      <x:c r="B33" s="57"/>
      <x:c r="C33" s="57"/>
      <x:c r="D33" s="57"/>
      <x:c r="E33" s="57"/>
      <x:c r="F33" s="57"/>
      <x:c r="G33" s="57"/>
      <x:c r="H33" s="57"/>
    </x:row>
  </x:sheetData>
  <x:mergeCells>
    <x:mergeCell ref="A1:H1"/>
    <x:mergeCell ref="A14:H14"/>
    <x:mergeCell ref="A22:H22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" hidden="0" customWidth="1"/>
    <x:col min="3" max="3" width="15" hidden="0" customWidth="1"/>
    <x:col min="4" max="4" width="22" hidden="0" customWidth="1"/>
    <x:col min="5" max="5" width="11" hidden="0" customWidth="1"/>
    <x:col min="6" max="6" width="23" hidden="0" customWidth="1"/>
    <x:col min="7" max="7" width="25" hidden="0" customWidth="1"/>
    <x:col min="8" max="8" width="8" hidden="0" customWidth="1"/>
    <x:col min="9" max="9" width="10" hidden="0" customWidth="1"/>
    <x:col min="10" max="10" width="10" hidden="0" customWidth="1"/>
    <x:col min="11" max="11" width="14" hidden="0" customWidth="1"/>
    <x:col min="12" max="12" width="14" hidden="0" customWidth="1"/>
    <x:col min="13" max="13" width="17" hidden="0" customWidth="1"/>
    <x:col min="14" max="14" width="17" hidden="0" customWidth="1"/>
    <x:col min="15" max="15" width="12" hidden="0" customWidth="1"/>
    <x:col min="16" max="16" width="12" hidden="0" customWidth="1"/>
    <x:col min="17" max="17" width="12" hidden="0" customWidth="1"/>
    <x:col min="18" max="18" width="25" hidden="0" customWidth="1"/>
    <x:col min="19" max="19" width="14" hidden="0" customWidth="1"/>
    <x:col min="20" max="20" width="12" hidden="0" customWidth="1"/>
    <x:col min="21" max="21" width="9" hidden="0" customWidth="1"/>
    <x:col min="22" max="22" width="12" hidden="0" customWidth="1"/>
    <x:col min="23" max="23" width="52" hidden="0" customWidth="1"/>
    <x:col min="24" max="24" width="10" hidden="0" customWidth="1"/>
    <x:col min="25" max="25" width="12" hidden="0" customWidth="1"/>
    <x:col min="26" max="26" width="14" hidden="0" customWidth="1"/>
    <x:col min="27" max="27" width="14" hidden="0" customWidth="1"/>
  </x:cols>
  <x:sheetData>
    <x:row r="1" ht="28" customHeight="1">
      <x:c r="A1" s="4" t="str">
        <x:v>Vista task6 · 9组正式实验明细</x:v>
      </x:c>
      <x:c r="B1" s="4" t="str">
        <x:v>Vista task6 · 9组正式实验明细</x:v>
      </x:c>
      <x:c r="C1" s="4" t="str">
        <x:v>Vista task6 · 9组正式实验明细</x:v>
      </x:c>
      <x:c r="D1" s="4" t="str">
        <x:v>Vista task6 · 9组正式实验明细</x:v>
      </x:c>
      <x:c r="E1" s="4" t="str">
        <x:v>Vista task6 · 9组正式实验明细</x:v>
      </x:c>
      <x:c r="F1" s="4" t="str">
        <x:v>Vista task6 · 9组正式实验明细</x:v>
      </x:c>
      <x:c r="G1" s="4" t="str">
        <x:v>Vista task6 · 9组正式实验明细</x:v>
      </x:c>
      <x:c r="H1" s="4" t="str">
        <x:v>Vista task6 · 9组正式实验明细</x:v>
      </x:c>
      <x:c r="I1" s="4" t="str">
        <x:v>Vista task6 · 9组正式实验明细</x:v>
      </x:c>
      <x:c r="J1" s="4" t="str">
        <x:v>Vista task6 · 9组正式实验明细</x:v>
      </x:c>
      <x:c r="K1" s="4" t="str">
        <x:v>Vista task6 · 9组正式实验明细</x:v>
      </x:c>
      <x:c r="L1" s="4" t="str">
        <x:v>Vista task6 · 9组正式实验明细</x:v>
      </x:c>
      <x:c r="M1" s="4" t="str">
        <x:v>Vista task6 · 9组正式实验明细</x:v>
      </x:c>
      <x:c r="N1" s="4" t="str">
        <x:v>Vista task6 · 9组正式实验明细</x:v>
      </x:c>
      <x:c r="O1" s="4" t="str">
        <x:v>Vista task6 · 9组正式实验明细</x:v>
      </x:c>
      <x:c r="P1" s="4" t="str">
        <x:v>Vista task6 · 9组正式实验明细</x:v>
      </x:c>
      <x:c r="Q1" s="4" t="str">
        <x:v>Vista task6 · 9组正式实验明细</x:v>
      </x:c>
      <x:c r="R1" s="4" t="str">
        <x:v>Vista task6 · 9组正式实验明细</x:v>
      </x:c>
      <x:c r="S1" s="4" t="str">
        <x:v>Vista task6 · 9组正式实验明细</x:v>
      </x:c>
      <x:c r="T1" s="4" t="str">
        <x:v>Vista task6 · 9组正式实验明细</x:v>
      </x:c>
      <x:c r="U1" s="4" t="str">
        <x:v>Vista task6 · 9组正式实验明细</x:v>
      </x:c>
      <x:c r="V1" s="4" t="str">
        <x:v>Vista task6 · 9组正式实验明细</x:v>
      </x:c>
      <x:c r="W1" s="4" t="str">
        <x:v>Vista task6 · 9组正式实验明细</x:v>
      </x:c>
      <x:c r="X1" s="4" t="str">
        <x:v>Vista task6 · 9组正式实验明细</x:v>
      </x:c>
      <x:c r="Y1" s="4" t="str">
        <x:v>Vista task6 · 9组正式实验明细</x:v>
      </x:c>
      <x:c r="Z1" s="4" t="str">
        <x:v>Vista task6 · 9组正式实验明细</x:v>
      </x:c>
    </x:row>
    <x:row r="2">
      <x:c r="A2" s="7" t="str">
        <x:v>正式批次：formal-task006-docker-local-3x3-minimaxm3-20260827-17；所有组使用相同 Verifier、最大 6 轮、420 秒模型轮次上限、900 秒 Verifier 上限。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4" ht="30" customHeight="1">
      <x:c r="A4" s="13" t="str">
        <x:v>条件</x:v>
      </x:c>
      <x:c r="B4" s="13" t="str">
        <x:v>重复</x:v>
      </x:c>
      <x:c r="C4" s="13" t="str">
        <x:v>组ID</x:v>
      </x:c>
      <x:c r="D4" s="13" t="str">
        <x:v>最终状态</x:v>
      </x:c>
      <x:c r="E4" s="13" t="str">
        <x:v>Verifier</x:v>
      </x:c>
      <x:c r="F4" s="13" t="str">
        <x:v>实际 Provider/Model</x:v>
      </x:c>
      <x:c r="G4" s="13" t="str">
        <x:v>Session</x:v>
      </x:c>
      <x:c r="H4" s="13" t="str">
        <x:v>轮次</x:v>
      </x:c>
      <x:c r="I4" s="13" t="str">
        <x:v>请求数</x:v>
      </x:c>
      <x:c r="J4" s="13" t="str">
        <x:v>工具调用</x:v>
      </x:c>
      <x:c r="K4" s="13" t="str">
        <x:v>输入Token</x:v>
      </x:c>
      <x:c r="L4" s="13" t="str">
        <x:v>输出Token</x:v>
      </x:c>
      <x:c r="M4" s="13" t="str">
        <x:v>Cache-read Token</x:v>
      </x:c>
      <x:c r="N4" s="13" t="str">
        <x:v>OpenCode记录费用(USD)</x:v>
      </x:c>
      <x:c r="O4" s="13" t="str">
        <x:v>模型超时轮数</x:v>
      </x:c>
      <x:c r="P4" s="13" t="str">
        <x:v>公开诊断次数</x:v>
      </x:c>
      <x:c r="Q4" s="13" t="str">
        <x:v>可路由反馈</x:v>
      </x:c>
      <x:c r="R4" s="13" t="str">
        <x:v>披露模块</x:v>
      </x:c>
      <x:c r="S4" s="13" t="str">
        <x:v>下一轮实际访问</x:v>
      </x:c>
      <x:c r="T4" s="13" t="str">
        <x:v>干净闭环</x:v>
      </x:c>
      <x:c r="U4" s="13" t="str">
        <x:v>Docker</x:v>
      </x:c>
      <x:c r="V4" s="13" t="str">
        <x:v>SkillBench路线</x:v>
      </x:c>
      <x:c r="W4" s="13" t="str">
        <x:v>结果文件</x:v>
      </x:c>
      <x:c r="X4" s="13" t="str">
        <x:v>通过指示</x:v>
      </x:c>
      <x:c r="Y4" s="13" t="str">
        <x:v>唯一Session指示</x:v>
      </x:c>
      <x:c r="Z4" s="13" t="str">
        <x:v>总Token</x:v>
      </x:c>
      <x:c r="AA4" s="13" t="str">
        <x:v>输入+输出</x:v>
      </x:c>
    </x:row>
    <x:row r="5">
      <x:c r="A5" s="18" t="str">
        <x:v>No-Skill</x:v>
      </x:c>
      <x:c r="B5" s="18" t="n">
        <x:v>1</x:v>
      </x:c>
      <x:c r="C5" s="18" t="str">
        <x:v>No-Skill-R01</x:v>
      </x:c>
      <x:c r="D5" s="18" t="str">
        <x:v>通过</x:v>
      </x:c>
      <x:c r="E5" s="18" t="str">
        <x:v>通过</x:v>
      </x:c>
      <x:c r="F5" s="18" t="str">
        <x:v>minimax-cn/MiniMax-M3</x:v>
      </x:c>
      <x:c r="G5" s="18" t="str">
        <x:v>ses_fc0864e99ffeGWSMvdyPnVO25G</x:v>
      </x:c>
      <x:c r="H5" s="19" t="n">
        <x:v>5</x:v>
      </x:c>
      <x:c r="I5" s="19" t="n">
        <x:v>122</x:v>
      </x:c>
      <x:c r="J5" s="19" t="n">
        <x:v>120</x:v>
      </x:c>
      <x:c r="K5" s="21" t="n">
        <x:v>361661</x:v>
      </x:c>
      <x:c r="L5" s="21" t="n">
        <x:v>35595</x:v>
      </x:c>
      <x:c r="M5" s="21" t="n">
        <x:v>7025024</x:v>
      </x:c>
      <x:c r="N5" s="23" t="n">
        <x:v>0.5727137400000001</x:v>
      </x:c>
      <x:c r="O5" s="19" t="n">
        <x:v>3</x:v>
      </x:c>
      <x:c r="P5" s="19" t="n">
        <x:v>4</x:v>
      </x:c>
      <x:c r="Q5" s="19" t="n">
        <x:v>0</x:v>
      </x:c>
      <x:c r="R5" s="18" t="str">
        <x:v>—</x:v>
      </x:c>
      <x:c r="S5" s="18" t="n">
        <x:v>0</x:v>
      </x:c>
      <x:c r="T5" s="18" t="str">
        <x:v>否</x:v>
      </x:c>
      <x:c r="U5" s="18" t="str">
        <x:v>是</x:v>
      </x:c>
      <x:c r="V5" s="18" t="str">
        <x:v>否</x:v>
      </x:c>
      <x:c r="W5" s="18" t="str">
        <x:v>data/raw/formal-task006-docker-local-3x3-minimaxm3-20260827-17/noskill/replicate-01</x:v>
      </x:c>
      <x:c r="X5" s="25" t="n">
        <x:f>IF(E5="通过",1,0)</x:f>
        <x:v>1</x:v>
      </x:c>
      <x:c r="Y5" s="25" t="n">
        <x:f>IF(G5&lt;&gt;"—",1,0)</x:f>
        <x:v>1</x:v>
      </x:c>
      <x:c r="Z5" s="25" t="n">
        <x:f>K5+L5+M5</x:f>
        <x:v>7422280</x:v>
      </x:c>
      <x:c r="AA5" s="25" t="n">
        <x:f>K5+L5</x:f>
        <x:v>397256</x:v>
      </x:c>
    </x:row>
    <x:row r="6">
      <x:c r="A6" s="17" t="str">
        <x:v>Native</x:v>
      </x:c>
      <x:c r="B6" s="17" t="n">
        <x:v>1</x:v>
      </x:c>
      <x:c r="C6" s="17" t="str">
        <x:v>Native-R01</x:v>
      </x:c>
      <x:c r="D6" s="17" t="str">
        <x:v>通过</x:v>
      </x:c>
      <x:c r="E6" s="17" t="str">
        <x:v>通过</x:v>
      </x:c>
      <x:c r="F6" s="17" t="str">
        <x:v>minimax-cn/MiniMax-M3</x:v>
      </x:c>
      <x:c r="G6" s="17" t="str">
        <x:v>ses_fbf41e9d0ffeuPv53b8x0vCmOb</x:v>
      </x:c>
      <x:c r="H6" s="20" t="n">
        <x:v>4</x:v>
      </x:c>
      <x:c r="I6" s="20" t="n">
        <x:v>195</x:v>
      </x:c>
      <x:c r="J6" s="20" t="n">
        <x:v>192</x:v>
      </x:c>
      <x:c r="K6" s="22" t="n">
        <x:v>157601</x:v>
      </x:c>
      <x:c r="L6" s="22" t="n">
        <x:v>65722</x:v>
      </x:c>
      <x:c r="M6" s="22" t="n">
        <x:v>16709305</x:v>
      </x:c>
      <x:c r="N6" s="24" t="n">
        <x:v>1.128705</x:v>
      </x:c>
      <x:c r="O6" s="20" t="n">
        <x:v>2</x:v>
      </x:c>
      <x:c r="P6" s="20" t="n">
        <x:v>3</x:v>
      </x:c>
      <x:c r="Q6" s="20" t="n">
        <x:v>0</x:v>
      </x:c>
      <x:c r="R6" s="17" t="str">
        <x:v>—</x:v>
      </x:c>
      <x:c r="S6" s="17" t="n">
        <x:v>0</x:v>
      </x:c>
      <x:c r="T6" s="17" t="str">
        <x:v>否</x:v>
      </x:c>
      <x:c r="U6" s="17" t="str">
        <x:v>是</x:v>
      </x:c>
      <x:c r="V6" s="17" t="str">
        <x:v>否</x:v>
      </x:c>
      <x:c r="W6" s="17" t="str">
        <x:v>data/raw/formal-task006-docker-local-3x3-minimaxm3-20260827-17/native/replicate-01</x:v>
      </x:c>
      <x:c r="X6" s="26" t="n">
        <x:f>IF(E6="通过",1,0)</x:f>
        <x:v>1</x:v>
      </x:c>
      <x:c r="Y6" s="26" t="n">
        <x:f>IF(G6&lt;&gt;"—",1,0)</x:f>
        <x:v>1</x:v>
      </x:c>
      <x:c r="Z6" s="26" t="n">
        <x:f>K6+L6+M6</x:f>
        <x:v>16932628</x:v>
      </x:c>
      <x:c r="AA6" s="26" t="n">
        <x:f>K6+L6</x:f>
        <x:v>223323</x:v>
      </x:c>
    </x:row>
    <x:row r="7">
      <x:c r="A7" s="18" t="str">
        <x:v>PD-VISTA</x:v>
      </x:c>
      <x:c r="B7" s="18" t="n">
        <x:v>1</x:v>
      </x:c>
      <x:c r="C7" s="18" t="str">
        <x:v>PD-VISTA-R01</x:v>
      </x:c>
      <x:c r="D7" s="18" t="str">
        <x:v>通过（PD-VISTA闭环）</x:v>
      </x:c>
      <x:c r="E7" s="18" t="str">
        <x:v>通过</x:v>
      </x:c>
      <x:c r="F7" s="18" t="str">
        <x:v>minimax-cn/MiniMax-M3</x:v>
      </x:c>
      <x:c r="G7" s="18" t="str">
        <x:v>ses_fbf208b0bffeuy3aef7enGCpbX</x:v>
      </x:c>
      <x:c r="H7" s="19" t="n">
        <x:v>4</x:v>
      </x:c>
      <x:c r="I7" s="19" t="n">
        <x:v>154</x:v>
      </x:c>
      <x:c r="J7" s="19" t="n">
        <x:v>152</x:v>
      </x:c>
      <x:c r="K7" s="21" t="n">
        <x:v>149914</x:v>
      </x:c>
      <x:c r="L7" s="21" t="n">
        <x:v>49931</x:v>
      </x:c>
      <x:c r="M7" s="21" t="n">
        <x:v>9702656</x:v>
      </x:c>
      <x:c r="N7" s="23" t="n">
        <x:v>0.6870507599999996</x:v>
      </x:c>
      <x:c r="O7" s="19" t="n">
        <x:v>3</x:v>
      </x:c>
      <x:c r="P7" s="19" t="n">
        <x:v>3</x:v>
      </x:c>
      <x:c r="Q7" s="19" t="n">
        <x:v>3</x:v>
      </x:c>
      <x:c r="R7" s="18" t="str">
        <x:v>analyze-ci、testing-python</x:v>
      </x:c>
      <x:c r="S7" s="18" t="n">
        <x:v>2</x:v>
      </x:c>
      <x:c r="T7" s="18" t="str">
        <x:v>是</x:v>
      </x:c>
      <x:c r="U7" s="18" t="str">
        <x:v>是</x:v>
      </x:c>
      <x:c r="V7" s="18" t="str">
        <x:v>否</x:v>
      </x:c>
      <x:c r="W7" s="18" t="str">
        <x:v>data/raw/formal-task006-docker-local-3x3-minimaxm3-20260827-17/pd-vista/replicate-01</x:v>
      </x:c>
      <x:c r="X7" s="25" t="n">
        <x:f>IF(E7="通过",1,0)</x:f>
        <x:v>1</x:v>
      </x:c>
      <x:c r="Y7" s="25" t="n">
        <x:f>IF(G7&lt;&gt;"—",1,0)</x:f>
        <x:v>1</x:v>
      </x:c>
      <x:c r="Z7" s="25" t="n">
        <x:f>K7+L7+M7</x:f>
        <x:v>9902501</x:v>
      </x:c>
      <x:c r="AA7" s="25" t="n">
        <x:f>K7+L7</x:f>
        <x:v>199845</x:v>
      </x:c>
    </x:row>
    <x:row r="8">
      <x:c r="A8" s="17" t="str">
        <x:v>Native</x:v>
      </x:c>
      <x:c r="B8" s="17" t="n">
        <x:v>2</x:v>
      </x:c>
      <x:c r="C8" s="17" t="str">
        <x:v>Native-R02</x:v>
      </x:c>
      <x:c r="D8" s="17" t="str">
        <x:v>通过</x:v>
      </x:c>
      <x:c r="E8" s="17" t="str">
        <x:v>通过</x:v>
      </x:c>
      <x:c r="F8" s="17" t="str">
        <x:v>minimax-cn/MiniMax-M3</x:v>
      </x:c>
      <x:c r="G8" s="17" t="str">
        <x:v>ses_fbeffed92ffeQ3kJXw7EnY3dZu</x:v>
      </x:c>
      <x:c r="H8" s="20" t="n">
        <x:v>3</x:v>
      </x:c>
      <x:c r="I8" s="20" t="n">
        <x:v>189</x:v>
      </x:c>
      <x:c r="J8" s="20" t="n">
        <x:v>187</x:v>
      </x:c>
      <x:c r="K8" s="22" t="n">
        <x:v>126966</x:v>
      </x:c>
      <x:c r="L8" s="22" t="n">
        <x:v>38755</x:v>
      </x:c>
      <x:c r="M8" s="22" t="n">
        <x:v>14407764</x:v>
      </x:c>
      <x:c r="N8" s="24" t="n">
        <x:v>0.9490616399999999</x:v>
      </x:c>
      <x:c r="O8" s="20" t="n">
        <x:v>1</x:v>
      </x:c>
      <x:c r="P8" s="20" t="n">
        <x:v>2</x:v>
      </x:c>
      <x:c r="Q8" s="20" t="n">
        <x:v>0</x:v>
      </x:c>
      <x:c r="R8" s="17" t="str">
        <x:v>—</x:v>
      </x:c>
      <x:c r="S8" s="17" t="n">
        <x:v>0</x:v>
      </x:c>
      <x:c r="T8" s="17" t="str">
        <x:v>否</x:v>
      </x:c>
      <x:c r="U8" s="17" t="str">
        <x:v>是</x:v>
      </x:c>
      <x:c r="V8" s="17" t="str">
        <x:v>否</x:v>
      </x:c>
      <x:c r="W8" s="17" t="str">
        <x:v>data/raw/formal-task006-docker-local-3x3-minimaxm3-20260827-17/native/replicate-02</x:v>
      </x:c>
      <x:c r="X8" s="26" t="n">
        <x:f>IF(E8="通过",1,0)</x:f>
        <x:v>1</x:v>
      </x:c>
      <x:c r="Y8" s="26" t="n">
        <x:f>IF(G8&lt;&gt;"—",1,0)</x:f>
        <x:v>1</x:v>
      </x:c>
      <x:c r="Z8" s="26" t="n">
        <x:f>K8+L8+M8</x:f>
        <x:v>14573485</x:v>
      </x:c>
      <x:c r="AA8" s="26" t="n">
        <x:f>K8+L8</x:f>
        <x:v>165721</x:v>
      </x:c>
    </x:row>
    <x:row r="9">
      <x:c r="A9" s="18" t="str">
        <x:v>PD-VISTA</x:v>
      </x:c>
      <x:c r="B9" s="18" t="n">
        <x:v>2</x:v>
      </x:c>
      <x:c r="C9" s="18" t="str">
        <x:v>PD-VISTA-R02</x:v>
      </x:c>
      <x:c r="D9" s="18" t="str">
        <x:v>通过（PD-VISTA闭环）</x:v>
      </x:c>
      <x:c r="E9" s="18" t="str">
        <x:v>通过</x:v>
      </x:c>
      <x:c r="F9" s="18" t="str">
        <x:v>minimax-cn/MiniMax-M3</x:v>
      </x:c>
      <x:c r="G9" s="18" t="str">
        <x:v>ses_fbee3e9d5ffeHxlV3WsWcTC1Ci</x:v>
      </x:c>
      <x:c r="H9" s="19" t="n">
        <x:v>6</x:v>
      </x:c>
      <x:c r="I9" s="19" t="n">
        <x:v>190</x:v>
      </x:c>
      <x:c r="J9" s="19" t="n">
        <x:v>184</x:v>
      </x:c>
      <x:c r="K9" s="21" t="n">
        <x:v>196710</x:v>
      </x:c>
      <x:c r="L9" s="21" t="n">
        <x:v>96178</x:v>
      </x:c>
      <x:c r="M9" s="21" t="n">
        <x:v>17693765</x:v>
      </x:c>
      <x:c r="N9" s="23" t="n">
        <x:v>1.2360525</x:v>
      </x:c>
      <x:c r="O9" s="19" t="n">
        <x:v>3</x:v>
      </x:c>
      <x:c r="P9" s="19" t="n">
        <x:v>5</x:v>
      </x:c>
      <x:c r="Q9" s="19" t="n">
        <x:v>5</x:v>
      </x:c>
      <x:c r="R9" s="18" t="str">
        <x:v>analyze-ci、testing-python</x:v>
      </x:c>
      <x:c r="S9" s="18" t="n">
        <x:v>2</x:v>
      </x:c>
      <x:c r="T9" s="18" t="str">
        <x:v>是</x:v>
      </x:c>
      <x:c r="U9" s="18" t="str">
        <x:v>是</x:v>
      </x:c>
      <x:c r="V9" s="18" t="str">
        <x:v>否</x:v>
      </x:c>
      <x:c r="W9" s="18" t="str">
        <x:v>data/raw/formal-task006-docker-local-3x3-minimaxm3-20260827-17/pd-vista/replicate-02</x:v>
      </x:c>
      <x:c r="X9" s="25" t="n">
        <x:f>IF(E9="通过",1,0)</x:f>
        <x:v>1</x:v>
      </x:c>
      <x:c r="Y9" s="25" t="n">
        <x:f>IF(G9&lt;&gt;"—",1,0)</x:f>
        <x:v>1</x:v>
      </x:c>
      <x:c r="Z9" s="25" t="n">
        <x:f>K9+L9+M9</x:f>
        <x:v>17986653</x:v>
      </x:c>
      <x:c r="AA9" s="25" t="n">
        <x:f>K9+L9</x:f>
        <x:v>292888</x:v>
      </x:c>
    </x:row>
    <x:row r="10">
      <x:c r="A10" s="17" t="str">
        <x:v>No-Skill</x:v>
      </x:c>
      <x:c r="B10" s="17" t="n">
        <x:v>2</x:v>
      </x:c>
      <x:c r="C10" s="17" t="str">
        <x:v>No-Skill-R02</x:v>
      </x:c>
      <x:c r="D10" s="17" t="str">
        <x:v>未通过（达到最大轮次）</x:v>
      </x:c>
      <x:c r="E10" s="17" t="str">
        <x:v>未通过</x:v>
      </x:c>
      <x:c r="F10" s="17" t="str">
        <x:v>minimax-cn/MiniMax-M3</x:v>
      </x:c>
      <x:c r="G10" s="17" t="str">
        <x:v>ses_fbd9ae5c7ffedhj40j01U6I9q2</x:v>
      </x:c>
      <x:c r="H10" s="20" t="n">
        <x:v>6</x:v>
      </x:c>
      <x:c r="I10" s="20" t="n">
        <x:v>196</x:v>
      </x:c>
      <x:c r="J10" s="20" t="n">
        <x:v>190</x:v>
      </x:c>
      <x:c r="K10" s="22" t="n">
        <x:v>146142</x:v>
      </x:c>
      <x:c r="L10" s="22" t="n">
        <x:v>129203</x:v>
      </x:c>
      <x:c r="M10" s="22" t="n">
        <x:v>15860769</x:v>
      </x:c>
      <x:c r="N10" s="24" t="n">
        <x:v>1.1505323399999996</x:v>
      </x:c>
      <x:c r="O10" s="20" t="n">
        <x:v>1</x:v>
      </x:c>
      <x:c r="P10" s="20" t="n">
        <x:v>6</x:v>
      </x:c>
      <x:c r="Q10" s="20" t="n">
        <x:v>0</x:v>
      </x:c>
      <x:c r="R10" s="17" t="str">
        <x:v>—</x:v>
      </x:c>
      <x:c r="S10" s="17" t="n">
        <x:v>0</x:v>
      </x:c>
      <x:c r="T10" s="17" t="str">
        <x:v>否</x:v>
      </x:c>
      <x:c r="U10" s="17" t="str">
        <x:v>是</x:v>
      </x:c>
      <x:c r="V10" s="17" t="str">
        <x:v>否</x:v>
      </x:c>
      <x:c r="W10" s="17" t="str">
        <x:v>data/raw/formal-task006-docker-local-3x3-minimaxm3-20260827-17/noskill/replicate-02</x:v>
      </x:c>
      <x:c r="X10" s="26" t="n">
        <x:f>IF(E10="通过",1,0)</x:f>
        <x:v>0</x:v>
      </x:c>
      <x:c r="Y10" s="26" t="n">
        <x:f>IF(G10&lt;&gt;"—",1,0)</x:f>
        <x:v>1</x:v>
      </x:c>
      <x:c r="Z10" s="26" t="n">
        <x:f>K10+L10+M10</x:f>
        <x:v>16136114</x:v>
      </x:c>
      <x:c r="AA10" s="26" t="n">
        <x:f>K10+L10</x:f>
        <x:v>275345</x:v>
      </x:c>
    </x:row>
    <x:row r="11">
      <x:c r="A11" s="18" t="str">
        <x:v>PD-VISTA</x:v>
      </x:c>
      <x:c r="B11" s="18" t="n">
        <x:v>3</x:v>
      </x:c>
      <x:c r="C11" s="18" t="str">
        <x:v>PD-VISTA-R03</x:v>
      </x:c>
      <x:c r="D11" s="18" t="str">
        <x:v>通过（PD-VISTA闭环）</x:v>
      </x:c>
      <x:c r="E11" s="18" t="str">
        <x:v>通过</x:v>
      </x:c>
      <x:c r="F11" s="18" t="str">
        <x:v>minimax-cn/MiniMax-M3</x:v>
      </x:c>
      <x:c r="G11" s="18" t="str">
        <x:v>ses_fbca1947fffer5WpY0UM5KZHuj</x:v>
      </x:c>
      <x:c r="H11" s="19" t="n">
        <x:v>2</x:v>
      </x:c>
      <x:c r="I11" s="19" t="n">
        <x:v>150</x:v>
      </x:c>
      <x:c r="J11" s="19" t="n">
        <x:v>149</x:v>
      </x:c>
      <x:c r="K11" s="21" t="n">
        <x:v>105706</x:v>
      </x:c>
      <x:c r="L11" s="21" t="n">
        <x:v>24678</x:v>
      </x:c>
      <x:c r="M11" s="21" t="n">
        <x:v>9191799</x:v>
      </x:c>
      <x:c r="N11" s="23" t="n">
        <x:v>0.6128333399999999</x:v>
      </x:c>
      <x:c r="O11" s="19" t="n">
        <x:v>1</x:v>
      </x:c>
      <x:c r="P11" s="19" t="n">
        <x:v>1</x:v>
      </x:c>
      <x:c r="Q11" s="19" t="n">
        <x:v>1</x:v>
      </x:c>
      <x:c r="R11" s="18" t="str">
        <x:v>analyze-ci</x:v>
      </x:c>
      <x:c r="S11" s="18" t="n">
        <x:v>1</x:v>
      </x:c>
      <x:c r="T11" s="18" t="str">
        <x:v>是</x:v>
      </x:c>
      <x:c r="U11" s="18" t="str">
        <x:v>是</x:v>
      </x:c>
      <x:c r="V11" s="18" t="str">
        <x:v>否</x:v>
      </x:c>
      <x:c r="W11" s="18" t="str">
        <x:v>data/raw/formal-task006-docker-local-3x3-minimaxm3-20260827-17/pd-vista/replicate-03</x:v>
      </x:c>
      <x:c r="X11" s="25" t="n">
        <x:f>IF(E11="通过",1,0)</x:f>
        <x:v>1</x:v>
      </x:c>
      <x:c r="Y11" s="25" t="n">
        <x:f>IF(G11&lt;&gt;"—",1,0)</x:f>
        <x:v>1</x:v>
      </x:c>
      <x:c r="Z11" s="25" t="n">
        <x:f>K11+L11+M11</x:f>
        <x:v>9322183</x:v>
      </x:c>
      <x:c r="AA11" s="25" t="n">
        <x:f>K11+L11</x:f>
        <x:v>130384</x:v>
      </x:c>
    </x:row>
    <x:row r="12">
      <x:c r="A12" s="17" t="str">
        <x:v>No-Skill</x:v>
      </x:c>
      <x:c r="B12" s="17" t="n">
        <x:v>3</x:v>
      </x:c>
      <x:c r="C12" s="17" t="str">
        <x:v>No-Skill-R03</x:v>
      </x:c>
      <x:c r="D12" s="17" t="str">
        <x:v>通过</x:v>
      </x:c>
      <x:c r="E12" s="17" t="str">
        <x:v>通过</x:v>
      </x:c>
      <x:c r="F12" s="17" t="str">
        <x:v>minimax-cn/MiniMax-M3</x:v>
      </x:c>
      <x:c r="G12" s="17" t="str">
        <x:v>ses_fbd4f7b55ffepNnL8tn7N7R3ko</x:v>
      </x:c>
      <x:c r="H12" s="20" t="n">
        <x:v>3</x:v>
      </x:c>
      <x:c r="I12" s="20" t="n">
        <x:v>104</x:v>
      </x:c>
      <x:c r="J12" s="20" t="n">
        <x:v>101</x:v>
      </x:c>
      <x:c r="K12" s="22" t="n">
        <x:v>70407</x:v>
      </x:c>
      <x:c r="L12" s="22" t="n">
        <x:v>23589</x:v>
      </x:c>
      <x:c r="M12" s="22" t="n">
        <x:v>4109886</x:v>
      </x:c>
      <x:c r="N12" s="24" t="n">
        <x:v>0.29602205999999986</x:v>
      </x:c>
      <x:c r="O12" s="20" t="n">
        <x:v>1</x:v>
      </x:c>
      <x:c r="P12" s="20" t="n">
        <x:v>2</x:v>
      </x:c>
      <x:c r="Q12" s="20" t="n">
        <x:v>0</x:v>
      </x:c>
      <x:c r="R12" s="17" t="str">
        <x:v>—</x:v>
      </x:c>
      <x:c r="S12" s="17" t="n">
        <x:v>0</x:v>
      </x:c>
      <x:c r="T12" s="17" t="str">
        <x:v>否</x:v>
      </x:c>
      <x:c r="U12" s="17" t="str">
        <x:v>是</x:v>
      </x:c>
      <x:c r="V12" s="17" t="str">
        <x:v>否</x:v>
      </x:c>
      <x:c r="W12" s="17" t="str">
        <x:v>data/raw/formal-task006-docker-local-3x3-minimaxm3-20260827-17/noskill/replicate-03</x:v>
      </x:c>
      <x:c r="X12" s="26" t="n">
        <x:f>IF(E12="通过",1,0)</x:f>
        <x:v>1</x:v>
      </x:c>
      <x:c r="Y12" s="26" t="n">
        <x:f>IF(G12&lt;&gt;"—",1,0)</x:f>
        <x:v>1</x:v>
      </x:c>
      <x:c r="Z12" s="26" t="n">
        <x:f>K12+L12+M12</x:f>
        <x:v>4203882</x:v>
      </x:c>
      <x:c r="AA12" s="26" t="n">
        <x:f>K12+L12</x:f>
        <x:v>93996</x:v>
      </x:c>
    </x:row>
    <x:row r="13">
      <x:c r="A13" s="18" t="str">
        <x:v>Native</x:v>
      </x:c>
      <x:c r="B13" s="18" t="n">
        <x:v>3</x:v>
      </x:c>
      <x:c r="C13" s="18" t="str">
        <x:v>Native-R03</x:v>
      </x:c>
      <x:c r="D13" s="18" t="str">
        <x:v>通过</x:v>
      </x:c>
      <x:c r="E13" s="18" t="str">
        <x:v>通过</x:v>
      </x:c>
      <x:c r="F13" s="18" t="str">
        <x:v>minimax-cn/MiniMax-M3</x:v>
      </x:c>
      <x:c r="G13" s="18" t="str">
        <x:v>ses_fbd39422fffeGuZsuAh5T4Ixw2</x:v>
      </x:c>
      <x:c r="H13" s="19" t="n">
        <x:v>3</x:v>
      </x:c>
      <x:c r="I13" s="19" t="n">
        <x:v>151</x:v>
      </x:c>
      <x:c r="J13" s="19" t="n">
        <x:v>148</x:v>
      </x:c>
      <x:c r="K13" s="21" t="n">
        <x:v>134934</x:v>
      </x:c>
      <x:c r="L13" s="21" t="n">
        <x:v>56630</x:v>
      </x:c>
      <x:c r="M13" s="21" t="n">
        <x:v>9391640</x:v>
      </x:c>
      <x:c r="N13" s="23" t="n">
        <x:v>0.6719346000000002</x:v>
      </x:c>
      <x:c r="O13" s="19" t="n">
        <x:v>2</x:v>
      </x:c>
      <x:c r="P13" s="19" t="n">
        <x:v>2</x:v>
      </x:c>
      <x:c r="Q13" s="19" t="n">
        <x:v>0</x:v>
      </x:c>
      <x:c r="R13" s="18" t="str">
        <x:v>—</x:v>
      </x:c>
      <x:c r="S13" s="18" t="n">
        <x:v>0</x:v>
      </x:c>
      <x:c r="T13" s="18" t="str">
        <x:v>否</x:v>
      </x:c>
      <x:c r="U13" s="18" t="str">
        <x:v>是</x:v>
      </x:c>
      <x:c r="V13" s="18" t="str">
        <x:v>否</x:v>
      </x:c>
      <x:c r="W13" s="18" t="str">
        <x:v>data/raw/formal-task006-docker-local-3x3-minimaxm3-20260827-17/native/replicate-03</x:v>
      </x:c>
      <x:c r="X13" s="25" t="n">
        <x:f>IF(E13="通过",1,0)</x:f>
        <x:v>1</x:v>
      </x:c>
      <x:c r="Y13" s="25" t="n">
        <x:f>IF(G13&lt;&gt;"—",1,0)</x:f>
        <x:v>1</x:v>
      </x:c>
      <x:c r="Z13" s="25" t="n">
        <x:f>K13+L13+M13</x:f>
        <x:v>9583204</x:v>
      </x:c>
      <x:c r="AA13" s="25" t="n">
        <x:f>K13+L13</x:f>
        <x:v>191564</x:v>
      </x:c>
    </x:row>
  </x:sheetData>
  <x:mergeCells>
    <x:mergeCell ref="A1:Z1"/>
    <x:mergeCell ref="A2:Z2"/>
  </x:mergeCells>
  <x:conditionalFormatting sqref="X5:X13">
    <x:cfRule type="cellIs" dxfId="0" priority="1" operator="equal">
      <x:formula>1</x:formula>
    </x:cfRule>
    <x:cfRule type="cellIs" dxfId="1" priority="2" operator="equal">
      <x:formula>0</x:formula>
    </x:cfRule>
  </x:conditionalFormatting>
  <x:conditionalFormatting sqref="E5:E13">
    <x:cfRule type="containsText" dxfId="2" priority="3" operator="containsText" text="未通过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8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26" hidden="0" customWidth="1"/>
    <x:col min="9" max="9" width="35" hidden="0" customWidth="1"/>
  </x:cols>
  <x:sheetData>
    <x:row r="1" ht="28" customHeight="1">
      <x:c r="A1" s="4" t="str">
        <x:v>Token 与成本审计</x:v>
      </x:c>
      <x:c r="B1" s="4" t="str">
        <x:v>Token 与成本审计</x:v>
      </x:c>
      <x:c r="C1" s="4" t="str">
        <x:v>Token 与成本审计</x:v>
      </x:c>
      <x:c r="D1" s="4" t="str">
        <x:v>Token 与成本审计</x:v>
      </x:c>
      <x:c r="E1" s="4" t="str">
        <x:v>Token 与成本审计</x:v>
      </x:c>
      <x:c r="F1" s="4" t="str">
        <x:v>Token 与成本审计</x:v>
      </x:c>
      <x:c r="G1" s="4" t="str">
        <x:v>Token 与成本审计</x:v>
      </x:c>
      <x:c r="H1" s="4" t="str">
        <x:v>Token 与成本审计</x:v>
      </x:c>
      <x:c r="I1" s="4" t="str">
        <x:v>Token 与成本审计</x:v>
      </x:c>
    </x:row>
    <x:row r="2">
      <x:c r="A2" s="7" t="str">
        <x:v>费用取自隔离 OpenCode SQLite session 记录；Token 同时保留 result.json usage 与 DB 审计口径，下面汇总引用 9组明细公式。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3" t="str">
        <x:v>条件</x:v>
      </x:c>
      <x:c r="B4" s="13" t="str">
        <x:v>组数</x:v>
      </x:c>
      <x:c r="C4" s="13" t="str">
        <x:v>通过数</x:v>
      </x:c>
      <x:c r="D4" s="13" t="str">
        <x:v>通过率</x:v>
      </x:c>
      <x:c r="E4" s="13" t="str">
        <x:v>请求数</x:v>
      </x:c>
      <x:c r="F4" s="13" t="str">
        <x:v>输入+输出Token</x:v>
      </x:c>
      <x:c r="G4" s="13" t="str">
        <x:v>Cache-read Token</x:v>
      </x:c>
      <x:c r="H4" s="13" t="str">
        <x:v>记录费用(USD)</x:v>
      </x:c>
    </x:row>
    <x:row r="5">
      <x:c r="A5" s="41" t="str">
        <x:v>No-Skill</x:v>
      </x:c>
      <x:c r="B5" s="41" t="n">
        <x:f>COUNTIF('9组明细'!$A$5:$A$13,A5)</x:f>
        <x:v>3</x:v>
      </x:c>
      <x:c r="C5" s="41" t="n">
        <x:f>SUMIF('9组明细'!$A$5:$A$13,A5,'9组明细'!$X$5:$X$13)</x:f>
        <x:v>2</x:v>
      </x:c>
      <x:c r="D5" s="44" t="n">
        <x:f>IF(B5=0,0,C5/B5)</x:f>
        <x:v>0.6666666666666666</x:v>
      </x:c>
      <x:c r="E5" s="47" t="n">
        <x:f>SUMIF('9组明细'!$A$5:$A$13,A5,'9组明细'!$I$5:$I$13)</x:f>
        <x:v>422</x:v>
      </x:c>
      <x:c r="F5" s="47" t="n">
        <x:f>SUMIF('9组明细'!$A$5:$A$13,A5,'9组明细'!$AA$5:$AA$13)</x:f>
        <x:v>766597</x:v>
      </x:c>
      <x:c r="G5" s="47" t="n">
        <x:f>SUMIF('9组明细'!$A$5:$A$13,A5,'9组明细'!$M$5:$M$13)</x:f>
        <x:v>26995679</x:v>
      </x:c>
      <x:c r="H5" s="50" t="n">
        <x:f>SUMIF('9组明细'!$A$5:$A$13,A5,'9组明细'!$N$5:$N$13)</x:f>
        <x:v>2.0192681399999994</x:v>
      </x:c>
    </x:row>
    <x:row r="6">
      <x:c r="A6" s="40" t="str">
        <x:v>Native</x:v>
      </x:c>
      <x:c r="B6" s="40" t="n">
        <x:f>COUNTIF('9组明细'!$A$5:$A$13,A6)</x:f>
        <x:v>3</x:v>
      </x:c>
      <x:c r="C6" s="40" t="n">
        <x:f>SUMIF('9组明细'!$A$5:$A$13,A6,'9组明细'!$X$5:$X$13)</x:f>
        <x:v>3</x:v>
      </x:c>
      <x:c r="D6" s="45" t="n">
        <x:f>IF(B6=0,0,C6/B6)</x:f>
        <x:v>1</x:v>
      </x:c>
      <x:c r="E6" s="48" t="n">
        <x:f>SUMIF('9组明细'!$A$5:$A$13,A6,'9组明细'!$I$5:$I$13)</x:f>
        <x:v>535</x:v>
      </x:c>
      <x:c r="F6" s="48" t="n">
        <x:f>SUMIF('9组明细'!$A$5:$A$13,A6,'9组明细'!$AA$5:$AA$13)</x:f>
        <x:v>580608</x:v>
      </x:c>
      <x:c r="G6" s="48" t="n">
        <x:f>SUMIF('9组明细'!$A$5:$A$13,A6,'9组明细'!$M$5:$M$13)</x:f>
        <x:v>40508709</x:v>
      </x:c>
      <x:c r="H6" s="51" t="n">
        <x:f>SUMIF('9组明细'!$A$5:$A$13,A6,'9组明细'!$N$5:$N$13)</x:f>
        <x:v>2.7497012400000003</x:v>
      </x:c>
    </x:row>
    <x:row r="7">
      <x:c r="A7" s="41" t="str">
        <x:v>PD-VISTA</x:v>
      </x:c>
      <x:c r="B7" s="41" t="n">
        <x:f>COUNTIF('9组明细'!$A$5:$A$13,A7)</x:f>
        <x:v>3</x:v>
      </x:c>
      <x:c r="C7" s="41" t="n">
        <x:f>SUMIF('9组明细'!$A$5:$A$13,A7,'9组明细'!$X$5:$X$13)</x:f>
        <x:v>3</x:v>
      </x:c>
      <x:c r="D7" s="44" t="n">
        <x:f>IF(B7=0,0,C7/B7)</x:f>
        <x:v>1</x:v>
      </x:c>
      <x:c r="E7" s="47" t="n">
        <x:f>SUMIF('9组明细'!$A$5:$A$13,A7,'9组明细'!$I$5:$I$13)</x:f>
        <x:v>494</x:v>
      </x:c>
      <x:c r="F7" s="47" t="n">
        <x:f>SUMIF('9组明细'!$A$5:$A$13,A7,'9组明细'!$AA$5:$AA$13)</x:f>
        <x:v>623117</x:v>
      </x:c>
      <x:c r="G7" s="47" t="n">
        <x:f>SUMIF('9组明细'!$A$5:$A$13,A7,'9组明细'!$M$5:$M$13)</x:f>
        <x:v>36588220</x:v>
      </x:c>
      <x:c r="H7" s="50" t="n">
        <x:f>SUMIF('9组明细'!$A$5:$A$13,A7,'9组明细'!$N$5:$N$13)</x:f>
        <x:v>2.5359365999999994</x:v>
      </x:c>
    </x:row>
    <x:row r="8">
      <x:c r="A8" s="43" t="str">
        <x:v>合计</x:v>
      </x:c>
      <x:c r="B8" s="43" t="n">
        <x:f>SUM(B5:B7)</x:f>
        <x:v>9</x:v>
      </x:c>
      <x:c r="C8" s="43" t="n">
        <x:f>SUM(C5:C7)</x:f>
        <x:v>8</x:v>
      </x:c>
      <x:c r="D8" s="46" t="n">
        <x:f>IF(B8=0,0,C8/B8)</x:f>
        <x:v>0.8888888888888888</x:v>
      </x:c>
      <x:c r="E8" s="49" t="n">
        <x:f>SUM(E5:E7)</x:f>
        <x:v>1451</x:v>
      </x:c>
      <x:c r="F8" s="49" t="n">
        <x:f>SUM(F5:F7)</x:f>
        <x:v>1970322</x:v>
      </x:c>
      <x:c r="G8" s="49" t="n">
        <x:f>SUM(G5:G7)</x:f>
        <x:v>104092608</x:v>
      </x:c>
      <x:c r="H8" s="52" t="n">
        <x:f>SUM(H5:H7)</x:f>
        <x:v>7.304905979999999</x:v>
      </x:c>
    </x:row>
    <x:row r="11" ht="22" customHeight="1">
      <x:c r="A11" s="38" t="str">
        <x:v>逐组费用与 Token 复核</x:v>
      </x:c>
      <x:c r="B11" s="38" t="str">
        <x:v>逐组费用与 Token 复核</x:v>
      </x:c>
      <x:c r="C11" s="38" t="str">
        <x:v>逐组费用与 Token 复核</x:v>
      </x:c>
      <x:c r="D11" s="38" t="str">
        <x:v>逐组费用与 Token 复核</x:v>
      </x:c>
      <x:c r="E11" s="38" t="str">
        <x:v>逐组费用与 Token 复核</x:v>
      </x:c>
      <x:c r="F11" s="38" t="str">
        <x:v>逐组费用与 Token 复核</x:v>
      </x:c>
      <x:c r="G11" s="38" t="str">
        <x:v>逐组费用与 Token 复核</x:v>
      </x:c>
      <x:c r="H11" s="38" t="str">
        <x:v>逐组费用与 Token 复核</x:v>
      </x:c>
      <x:c r="I11" s="38" t="str">
        <x:v>逐组费用与 Token 复核</x:v>
      </x:c>
    </x:row>
    <x:row r="12" ht="30" customHeight="1">
      <x:c r="A12" s="13" t="str">
        <x:v>组ID</x:v>
      </x:c>
      <x:c r="B12" s="13" t="str">
        <x:v>条件</x:v>
      </x:c>
      <x:c r="C12" s="13" t="str">
        <x:v>重复</x:v>
      </x:c>
      <x:c r="D12" s="13" t="str">
        <x:v>输入Token</x:v>
      </x:c>
      <x:c r="E12" s="13" t="str">
        <x:v>输出Token</x:v>
      </x:c>
      <x:c r="F12" s="13" t="str">
        <x:v>Cache-read Token</x:v>
      </x:c>
      <x:c r="G12" s="13" t="str">
        <x:v>DB记录费用(USD)</x:v>
      </x:c>
      <x:c r="H12" s="13" t="str">
        <x:v>result.json费用来源</x:v>
      </x:c>
      <x:c r="I12" s="13" t="str">
        <x:v>DB审计来源</x:v>
      </x:c>
    </x:row>
    <x:row r="13">
      <x:c r="A13" s="18" t="str">
        <x:v>No-Skill-R01</x:v>
      </x:c>
      <x:c r="B13" s="18" t="str">
        <x:v>No-Skill</x:v>
      </x:c>
      <x:c r="C13" s="18" t="n">
        <x:v>1</x:v>
      </x:c>
      <x:c r="D13" s="25" t="n">
        <x:v>361661</x:v>
      </x:c>
      <x:c r="E13" s="25" t="n">
        <x:v>35595</x:v>
      </x:c>
      <x:c r="F13" s="25" t="n">
        <x:v>7025024</x:v>
      </x:c>
      <x:c r="G13" s="58" t="n">
        <x:v>0.5727137400000001</x:v>
      </x:c>
      <x:c r="H13" s="18" t="str">
        <x:v>usage.input/output/cache_read</x:v>
      </x:c>
      <x:c r="I13" s="18" t="str">
        <x:v>/Users/wangjinhua/Downloads/vista-travel-macos-handoff-20260819-192318/outputs/formal-task006-docker-local-3x3-minimaxm3-20260827-15-audit/posthoc-audit.json</x:v>
      </x:c>
    </x:row>
    <x:row r="14">
      <x:c r="A14" s="17" t="str">
        <x:v>Native-R01</x:v>
      </x:c>
      <x:c r="B14" s="17" t="str">
        <x:v>Native</x:v>
      </x:c>
      <x:c r="C14" s="17" t="n">
        <x:v>1</x:v>
      </x:c>
      <x:c r="D14" s="26" t="n">
        <x:v>157601</x:v>
      </x:c>
      <x:c r="E14" s="26" t="n">
        <x:v>65722</x:v>
      </x:c>
      <x:c r="F14" s="26" t="n">
        <x:v>16709305</x:v>
      </x:c>
      <x:c r="G14" s="59" t="n">
        <x:v>1.128705</x:v>
      </x:c>
      <x:c r="H14" s="17" t="str">
        <x:v>usage.input/output/cache_read</x:v>
      </x:c>
      <x:c r="I14" s="17" t="str">
        <x:v>/Users/wangjinhua/Downloads/vista-travel-macos-handoff-20260819-192318/outputs/formal-task006-docker-local-3x3-minimaxm3-20260827-15-audit/posthoc-audit.json</x:v>
      </x:c>
    </x:row>
    <x:row r="15">
      <x:c r="A15" s="18" t="str">
        <x:v>PD-VISTA-R01</x:v>
      </x:c>
      <x:c r="B15" s="18" t="str">
        <x:v>PD-VISTA</x:v>
      </x:c>
      <x:c r="C15" s="18" t="n">
        <x:v>1</x:v>
      </x:c>
      <x:c r="D15" s="25" t="n">
        <x:v>149914</x:v>
      </x:c>
      <x:c r="E15" s="25" t="n">
        <x:v>49931</x:v>
      </x:c>
      <x:c r="F15" s="25" t="n">
        <x:v>9702656</x:v>
      </x:c>
      <x:c r="G15" s="58" t="n">
        <x:v>0.6870507599999996</x:v>
      </x:c>
      <x:c r="H15" s="18" t="str">
        <x:v>usage.input/output/cache_read</x:v>
      </x:c>
      <x:c r="I15" s="18" t="str">
        <x:v>/Users/wangjinhua/Downloads/vista-travel-macos-handoff-20260819-192318/outputs/formal-task006-docker-local-3x3-minimaxm3-20260827-15-audit/posthoc-audit.json</x:v>
      </x:c>
    </x:row>
    <x:row r="16">
      <x:c r="A16" s="17" t="str">
        <x:v>Native-R02</x:v>
      </x:c>
      <x:c r="B16" s="17" t="str">
        <x:v>Native</x:v>
      </x:c>
      <x:c r="C16" s="17" t="n">
        <x:v>2</x:v>
      </x:c>
      <x:c r="D16" s="26" t="n">
        <x:v>126966</x:v>
      </x:c>
      <x:c r="E16" s="26" t="n">
        <x:v>38755</x:v>
      </x:c>
      <x:c r="F16" s="26" t="n">
        <x:v>14407764</x:v>
      </x:c>
      <x:c r="G16" s="59" t="n">
        <x:v>0.9490616399999999</x:v>
      </x:c>
      <x:c r="H16" s="17" t="str">
        <x:v>usage.input/output/cache_read</x:v>
      </x:c>
      <x:c r="I16" s="17" t="str">
        <x:v>/Users/wangjinhua/Downloads/vista-travel-macos-handoff-20260819-192318/outputs/formal-task006-docker-local-3x3-minimaxm3-20260827-15-audit/posthoc-audit.json</x:v>
      </x:c>
    </x:row>
    <x:row r="17">
      <x:c r="A17" s="18" t="str">
        <x:v>PD-VISTA-R02</x:v>
      </x:c>
      <x:c r="B17" s="18" t="str">
        <x:v>PD-VISTA</x:v>
      </x:c>
      <x:c r="C17" s="18" t="n">
        <x:v>2</x:v>
      </x:c>
      <x:c r="D17" s="25" t="n">
        <x:v>196710</x:v>
      </x:c>
      <x:c r="E17" s="25" t="n">
        <x:v>96178</x:v>
      </x:c>
      <x:c r="F17" s="25" t="n">
        <x:v>17693765</x:v>
      </x:c>
      <x:c r="G17" s="58" t="n">
        <x:v>1.2360525</x:v>
      </x:c>
      <x:c r="H17" s="18" t="str">
        <x:v>usage.input/output/cache_read</x:v>
      </x:c>
      <x:c r="I17" s="18" t="str">
        <x:v>/Users/wangjinhua/Downloads/vista-travel-macos-handoff-20260819-192318/outputs/formal-task006-docker-local-3x3-minimaxm3-20260827-15-audit/posthoc-audit.json</x:v>
      </x:c>
    </x:row>
    <x:row r="18">
      <x:c r="A18" s="17" t="str">
        <x:v>No-Skill-R02</x:v>
      </x:c>
      <x:c r="B18" s="17" t="str">
        <x:v>No-Skill</x:v>
      </x:c>
      <x:c r="C18" s="17" t="n">
        <x:v>2</x:v>
      </x:c>
      <x:c r="D18" s="26" t="n">
        <x:v>146142</x:v>
      </x:c>
      <x:c r="E18" s="26" t="n">
        <x:v>129203</x:v>
      </x:c>
      <x:c r="F18" s="26" t="n">
        <x:v>15860769</x:v>
      </x:c>
      <x:c r="G18" s="59" t="n">
        <x:v>1.1505323399999996</x:v>
      </x:c>
      <x:c r="H18" s="17" t="str">
        <x:v>usage.input/output/cache_read</x:v>
      </x:c>
      <x:c r="I18" s="17" t="str">
        <x:v>/Users/wangjinhua/Downloads/vista-travel-macos-handoff-20260819-192318/outputs/formal-task006-docker-local-3x3-minimaxm3-20260827-15-audit/posthoc-audit.json</x:v>
      </x:c>
    </x:row>
    <x:row r="19">
      <x:c r="A19" s="18" t="str">
        <x:v>PD-VISTA-R03</x:v>
      </x:c>
      <x:c r="B19" s="18" t="str">
        <x:v>PD-VISTA</x:v>
      </x:c>
      <x:c r="C19" s="18" t="n">
        <x:v>3</x:v>
      </x:c>
      <x:c r="D19" s="25" t="n">
        <x:v>105706</x:v>
      </x:c>
      <x:c r="E19" s="25" t="n">
        <x:v>24678</x:v>
      </x:c>
      <x:c r="F19" s="25" t="n">
        <x:v>9191799</x:v>
      </x:c>
      <x:c r="G19" s="58" t="n">
        <x:v>0.6128333399999999</x:v>
      </x:c>
      <x:c r="H19" s="18" t="str">
        <x:v>usage.input/output/cache_read</x:v>
      </x:c>
      <x:c r="I19" s="18" t="str">
        <x:v>fresh read-only sqlite query</x:v>
      </x:c>
    </x:row>
    <x:row r="20">
      <x:c r="A20" s="17" t="str">
        <x:v>No-Skill-R03</x:v>
      </x:c>
      <x:c r="B20" s="17" t="str">
        <x:v>No-Skill</x:v>
      </x:c>
      <x:c r="C20" s="17" t="n">
        <x:v>3</x:v>
      </x:c>
      <x:c r="D20" s="26" t="n">
        <x:v>70407</x:v>
      </x:c>
      <x:c r="E20" s="26" t="n">
        <x:v>23589</x:v>
      </x:c>
      <x:c r="F20" s="26" t="n">
        <x:v>4109886</x:v>
      </x:c>
      <x:c r="G20" s="59" t="n">
        <x:v>0.29602205999999986</x:v>
      </x:c>
      <x:c r="H20" s="17" t="str">
        <x:v>usage.input/output/cache_read</x:v>
      </x:c>
      <x:c r="I20" s="17" t="str">
        <x:v>/Users/wangjinhua/Downloads/vista-travel-macos-handoff-20260819-192318/outputs/formal-task006-docker-local-3x3-minimaxm3-20260827-15-audit/posthoc-audit.json</x:v>
      </x:c>
    </x:row>
    <x:row r="21">
      <x:c r="A21" s="18" t="str">
        <x:v>Native-R03</x:v>
      </x:c>
      <x:c r="B21" s="18" t="str">
        <x:v>Native</x:v>
      </x:c>
      <x:c r="C21" s="18" t="n">
        <x:v>3</x:v>
      </x:c>
      <x:c r="D21" s="25" t="n">
        <x:v>134934</x:v>
      </x:c>
      <x:c r="E21" s="25" t="n">
        <x:v>56630</x:v>
      </x:c>
      <x:c r="F21" s="25" t="n">
        <x:v>9391640</x:v>
      </x:c>
      <x:c r="G21" s="58" t="n">
        <x:v>0.6719346000000002</x:v>
      </x:c>
      <x:c r="H21" s="18" t="str">
        <x:v>usage.input/output/cache_read</x:v>
      </x:c>
      <x:c r="I21" s="18" t="str">
        <x:v>/Users/wangjinhua/Downloads/vista-travel-macos-handoff-20260819-192318/outputs/formal-task006-docker-local-3x3-minimaxm3-20260827-15-audit/posthoc-audit.json</x:v>
      </x:c>
    </x:row>
    <x:row r="23">
      <x:c r="A23" s="57" t="str">
        <x:v>口径说明：输入/输出/Cache-read 以 OpenCode SQLite session 的 tokens_* 为正式成本审计口径；请求数和工具调用以 turn JSONL event_summary 汇总。</x:v>
      </x:c>
      <x:c r="B23" s="57"/>
      <x:c r="C23" s="57"/>
      <x:c r="D23" s="57"/>
      <x:c r="E23" s="57"/>
      <x:c r="F23" s="57"/>
      <x:c r="G23" s="57"/>
      <x:c r="H23" s="57"/>
      <x:c r="I23" s="57"/>
    </x:row>
  </x:sheetData>
  <x:mergeCells>
    <x:mergeCell ref="A1:I1"/>
    <x:mergeCell ref="A2:I2"/>
    <x:mergeCell ref="A11:I11"/>
    <x:mergeCell ref="A23:I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70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4" t="str">
        <x:v>实验方法与执行流程</x:v>
      </x:c>
      <x:c r="B1" s="4" t="str">
        <x:v>实验方法与执行流程</x:v>
      </x:c>
      <x:c r="C1" s="4" t="str">
        <x:v>实验方法与执行流程</x:v>
      </x:c>
      <x:c r="D1" s="4" t="str">
        <x:v>实验方法与执行流程</x:v>
      </x:c>
      <x:c r="E1" s="4" t="str">
        <x:v>实验方法与执行流程</x:v>
      </x:c>
      <x:c r="F1" s="4" t="str">
        <x:v>实验方法与执行流程</x:v>
      </x:c>
    </x:row>
    <x:row r="3" ht="22" customHeight="1">
      <x:c r="A3" s="38" t="str">
        <x:v>协议与执行边界</x:v>
      </x:c>
      <x:c r="B3" s="38" t="str">
        <x:v>协议与执行边界</x:v>
      </x:c>
      <x:c r="C3" s="38" t="str">
        <x:v>协议与执行边界</x:v>
      </x:c>
      <x:c r="D3" s="38" t="str">
        <x:v>协议与执行边界</x:v>
      </x:c>
      <x:c r="E3" s="38" t="str">
        <x:v>协议与执行边界</x:v>
      </x:c>
      <x:c r="F3" s="38" t="str">
        <x:v>协议与执行边界</x:v>
      </x:c>
    </x:row>
    <x:row r="4">
      <x:c r="A4" s="28" t="str">
        <x:v>任务身份</x:v>
      </x:c>
      <x:c r="B4" s="32" t="str">
        <x:v>task-006 / fix-build-agentops；task.yaml 已独立确认 mapping_status=resolved</x:v>
      </x:c>
    </x:row>
    <x:row r="5">
      <x:c r="A5" s="28" t="str">
        <x:v>正式批次</x:v>
      </x:c>
      <x:c r="B5" s="32" t="str">
        <x:v>formal-task006-docker-local-3x3-minimaxm3-20260827-17</x:v>
      </x:c>
    </x:row>
    <x:row r="6">
      <x:c r="A6" s="28" t="str">
        <x:v>条件设计</x:v>
      </x:c>
      <x:c r="B6" s="32" t="str">
        <x:v>No-Skill、Native、PD-VISTA；各 3 个独立重复，共 9 组</x:v>
      </x:c>
    </x:row>
    <x:row r="7">
      <x:c r="A7" s="28" t="str">
        <x:v>平衡交错顺序</x:v>
      </x:c>
      <x:c r="B7" s="32" t="str">
        <x:v>R1 No-Skill → R1 Native → R1 PD-VISTA → R2 Native → R2 PD-VISTA → R2 No-Skill → R3 PD-VISTA → R3 No-Skill → R3 Native</x:v>
      </x:c>
    </x:row>
    <x:row r="8">
      <x:c r="A8" s="28" t="str">
        <x:v>OpenCode</x:v>
      </x:c>
      <x:c r="B8" s="32" t="str">
        <x:v>/Users/wangjinhua/.local/lib/node_modules/opencode-ai/bin/opencode.exe</x:v>
      </x:c>
    </x:row>
    <x:row r="9">
      <x:c r="A9" s="28" t="str">
        <x:v>Provider / Model</x:v>
      </x:c>
      <x:c r="B9" s="32" t="str">
        <x:v>minimax-cn/MiniMax-M3</x:v>
      </x:c>
    </x:row>
    <x:row r="10">
      <x:c r="A10" s="28" t="str">
        <x:v>Docker</x:v>
      </x:c>
      <x:c r="B10" s="32" t="str">
        <x:v>已授权并实际使用；task6-agentops-24579293289-20260826；linux/amd64</x:v>
      </x:c>
    </x:row>
    <x:row r="11">
      <x:c r="A11" s="28" t="str">
        <x:v>SkillBench 平台路线</x:v>
      </x:c>
      <x:c r="B11" s="32" t="str">
        <x:v>未使用；仅复用项目内 task 材料与本机 Docker runner 资产</x:v>
      </x:c>
    </x:row>
    <x:row r="12">
      <x:c r="A12" s="28" t="str">
        <x:v>Verifier</x:v>
      </x:c>
      <x:c r="B12" s="32" t="str">
        <x:v>每一轮在隔离容器中执行完整 public BugSwarm verifier；最终结果仍以 verifier 通过为准</x:v>
      </x:c>
    </x:row>
    <x:row r="13">
      <x:c r="A13" s="28" t="str">
        <x:v>公开诊断清洗</x:v>
      </x:c>
      <x:c r="B13" s="32" t="str">
        <x:v>统一清洗本机/容器路径并只向下一轮返回公开失败类型、摘要与可定位证据</x:v>
      </x:c>
    </x:row>
    <x:row r="14">
      <x:c r="A14" s="28" t="str">
        <x:v>最大轮数</x:v>
      </x:c>
      <x:c r="B14" s="32" t="str">
        <x:v>6</x:v>
      </x:c>
    </x:row>
    <x:row r="15">
      <x:c r="A15" s="28" t="str">
        <x:v>超时</x:v>
      </x:c>
      <x:c r="B15" s="32" t="str">
        <x:v>模型单轮 420 秒；Verifier 900 秒</x:v>
      </x:c>
    </x:row>
    <x:row r="16">
      <x:c r="A16" s="28" t="str">
        <x:v>429处理</x:v>
      </x:c>
      <x:c r="B16" s="32" t="str">
        <x:v>HTTP 429 / zero-request shared limit 立即隔离、停止续跑，不记为任务失败</x:v>
      </x:c>
    </x:row>
    <x:row r="17">
      <x:c r="A17" s="28" t="str">
        <x:v>收尾容错</x:v>
      </x:c>
      <x:c r="B17" s="32" t="str">
        <x:v>模型写入文件但收尾卡住时，在统一单轮上限内验收落盘文件；失败则同一 session 继续修复</x:v>
      </x:c>
    </x:row>
    <x:row r="19" ht="22" customHeight="1">
      <x:c r="A19" s="38" t="str">
        <x:v>Readiness 资产与协议检查</x:v>
      </x:c>
      <x:c r="B19" s="38" t="str">
        <x:v>Readiness 资产与协议检查</x:v>
      </x:c>
      <x:c r="C19" s="38" t="str">
        <x:v>Readiness 资产与协议检查</x:v>
      </x:c>
      <x:c r="D19" s="38" t="str">
        <x:v>Readiness 资产与协议检查</x:v>
      </x:c>
      <x:c r="E19" s="38" t="str">
        <x:v>Readiness 资产与协议检查</x:v>
      </x:c>
      <x:c r="F19" s="38" t="str">
        <x:v>Readiness 资产与协议检查</x:v>
      </x:c>
    </x:row>
    <x:row r="20" ht="30" customHeight="1">
      <x:c r="A20" s="13" t="str">
        <x:v>检查项</x:v>
      </x:c>
      <x:c r="B20" s="13" t="str">
        <x:v>结果</x:v>
      </x:c>
      <x:c r="C20" s="13" t="str">
        <x:v>证据/说明</x:v>
      </x:c>
    </x:row>
    <x:row r="21">
      <x:c r="A21" s="18" t="str">
        <x:v>任务材料、原始 Verifier、runner</x:v>
      </x:c>
      <x:c r="B21" s="18" t="str">
        <x:v>通过</x:v>
      </x:c>
      <x:c r="C21" s="18" t="str">
        <x:v>readiness.json；任务身份与完整 verifier 入口均存在</x:v>
      </x:c>
    </x:row>
    <x:row r="22">
      <x:c r="A22" s="17" t="str">
        <x:v>原始 Skill 模块</x:v>
      </x:c>
      <x:c r="B22" s="17" t="str">
        <x:v>通过</x:v>
      </x:c>
      <x:c r="C22" s="17" t="str">
        <x:v>4 个模块均有 SHA256 校验记录</x:v>
      </x:c>
    </x:row>
    <x:row r="23">
      <x:c r="A23" s="18" t="str">
        <x:v>PD-VISTA 根路由</x:v>
      </x:c>
      <x:c r="B23" s="18" t="str">
        <x:v>通过</x:v>
      </x:c>
      <x:c r="C23" s="18" t="str">
        <x:v>VISTA.md、manifest.yaml、source.yaml 均存在</x:v>
      </x:c>
    </x:row>
    <x:row r="24">
      <x:c r="A24" s="17" t="str">
        <x:v>Docker 镜像</x:v>
      </x:c>
      <x:c r="B24" s="17" t="str">
        <x:v>通过</x:v>
      </x:c>
      <x:c r="C24" s="17" t="str">
        <x:v>task6-agentops-24579293289-20260826</x:v>
      </x:c>
    </x:row>
    <x:row r="25">
      <x:c r="A25" s="18" t="str">
        <x:v>容器内 repo/runner 资产</x:v>
      </x:c>
      <x:c r="B25" s="18" t="str">
        <x:v>通过</x:v>
      </x:c>
      <x:c r="C25" s="18" t="str">
        <x:v>/home/github/build/failed/AgentOps-AI/agentops 与 runner 资产可见</x:v>
      </x:c>
    </x:row>
    <x:row r="26">
      <x:c r="A26" s="17" t="str">
        <x:v>Verifier collect-only</x:v>
      </x:c>
      <x:c r="B26" s="17" t="str">
        <x:v>通过</x:v>
      </x:c>
      <x:c r="C26" s="17" t="str">
        <x:v>::test_note_exists
::test_diff_exists
::test_build_success
3 tests collected in 0.06s</x:v>
      </x:c>
    </x:row>
    <x:row r="27">
      <x:c r="A27" s="18" t="str">
        <x:v>公开诊断清洗协议</x:v>
      </x:c>
      <x:c r="B27" s="18" t="str">
        <x:v>是</x:v>
      </x:c>
      <x:c r="C27" s="18"/>
    </x:row>
  </x:sheetData>
  <x:mergeCells>
    <x:mergeCell ref="A1:F1"/>
    <x:mergeCell ref="A3:F3"/>
    <x:mergeCell ref="A19:F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5" hidden="0" customWidth="1"/>
    <x:col min="3" max="3" width="105" hidden="0" customWidth="1"/>
    <x:col min="4" max="4" width="42" hidden="0" customWidth="1"/>
  </x:cols>
  <x:sheetData>
    <x:row r="1" ht="28" customHeight="1">
      <x:c r="A1" s="4" t="str">
        <x:v>三种条件、原始首轮提示词与失败反馈</x:v>
      </x:c>
      <x:c r="B1" s="4" t="str">
        <x:v>三种条件、原始首轮提示词与失败反馈</x:v>
      </x:c>
      <x:c r="C1" s="4" t="str">
        <x:v>三种条件、原始首轮提示词与失败反馈</x:v>
      </x:c>
      <x:c r="D1" s="4" t="str">
        <x:v>三种条件、原始首轮提示词与失败反馈</x:v>
      </x:c>
    </x:row>
    <x:row r="2">
      <x:c r="A2" s="7" t="str">
        <x:v>提示词为正式 runner 使用的原始英文文本；公开诊断是 Verifier 输出经过统一路径清洗后的反馈，保留了模型可见的失败语义。</x:v>
      </x:c>
      <x:c r="B2" s="7"/>
      <x:c r="C2" s="7"/>
      <x:c r="D2" s="7"/>
    </x:row>
    <x:row r="4" ht="30" customHeight="1">
      <x:c r="A4" s="13" t="str">
        <x:v>条件</x:v>
      </x:c>
      <x:c r="B4" s="13" t="str">
        <x:v>首轮原始提示词（英文）</x:v>
      </x:c>
      <x:c r="C4" s="13" t="str">
        <x:v>中文说明</x:v>
      </x:c>
      <x:c r="D4" s="13" t="str">
        <x:v>首轮 Skill 可见性</x:v>
      </x:c>
    </x:row>
    <x:row r="5">
      <x:c r="A5" s="18" t="str">
        <x:v>No-Skill</x:v>
      </x:c>
      <x:c r="B5" s="60" t="str">
        <x:v>Solve the isolated task-006 fix-build-agentops task in this working directory. Work only inside this directory and do not access parent or external directories. First read task.md and inspect the local repository. The task's /home/github/build maps to this workspace root: use ./failed/failed_reasons.txt and ./failed/AgentOps-AI/agentops. Write the required analysis, standard unified patch_*.diff files, and apply the patches to the repository. Use only local task materials and ordinary local tools; do not fetch hidden answers or use any benchmark platform. The controller runs the complete public BugSwarm verifier in an authorized isolated Docker image after each turn and may return a cleaned public diagnostic for repair. No task Skill is available in this condition; solve from task.md and the repository only.</x:v>
      </x:c>
      <x:c r="C5" s="18" t="str">
        <x:v>不提供任务 Skill；模型仅依靠 task.md、失败仓库和公开诊断完成修复。</x:v>
      </x:c>
      <x:c r="D5" s="18" t="str">
        <x:v>无任务 Skill</x:v>
      </x:c>
    </x:row>
    <x:row r="6">
      <x:c r="A6" s="17" t="str">
        <x:v>Native</x:v>
      </x:c>
      <x:c r="B6" s="61" t="str">
        <x:v>Solve the isolated task-006 fix-build-agentops task in this working directory. Work only inside this directory and do not access parent or external directories. First read task.md and inspect the local repository. The task's /home/github/build maps to this workspace root: use ./failed/failed_reasons.txt and ./failed/AgentOps-AI/agentops. Write the required analysis, standard unified patch_*.diff files, and apply the patches to the repository. Use only local task materials and ordinary local tools; do not fetch hidden answers or use any benchmark platform. The controller runs the complete public BugSwarm verifier in an authorized isolated Docker image after each turn and may return a cleaned public diagnostic for repair. The complete original guidance modules are available under ./modules/&lt;module-id&gt;/SKILL.md; read and use the relevant modules.</x:v>
      </x:c>
      <x:c r="C6" s="17" t="str">
        <x:v>首轮完整提供 4 个原始指导模块；模型可主动读取相关模块。</x:v>
      </x:c>
      <x:c r="D6" s="17" t="str">
        <x:v>4 个原始模块全部可见</x:v>
      </x:c>
    </x:row>
    <x:row r="7">
      <x:c r="A7" s="18" t="str">
        <x:v>PD-VISTA</x:v>
      </x:c>
      <x:c r="B7" s="60" t="str">
        <x:v>Solve the isolated task-006 fix-build-agentops task in this working directory. Work only inside this directory and do not access parent or external directories. First read task.md and inspect the local repository. The task's /home/github/build maps to this workspace root: use ./failed/failed_reasons.txt and ./failed/AgentOps-AI/agentops. Write the required analysis, standard unified patch_*.diff files, and apply the patches to the repository. Use only local task materials and ordinary local tools; do not fetch hidden answers or use any benchmark platform. The controller runs the complete public BugSwarm verifier in an authorized isolated Docker image after each turn and may return a cleaned public diagnostic for repair. Read VISTA.md. Original guidance modules are initially hidden; after a public verifier failure, VISTA may disclose at most one relevant module under ./modules/&lt;module-id&gt;/SKILL.md. Read any disclosed module before the next repair turn.</x:v>
      </x:c>
      <x:c r="C7" s="18" t="str">
        <x:v>首轮只提供 VISTA 根路由说明；每次公开失败后最多披露一个相关模块，并审计下一轮是否实际读取。</x:v>
      </x:c>
      <x:c r="D7" s="18" t="str">
        <x:v>仅根路由；模块按反馈单轮披露</x:v>
      </x:c>
    </x:row>
    <x:row r="9">
      <x:c r="A9" s="36" t="str">
        <x:v>代表性失败反馈（公开诊断原文；统一清洗本机/容器路径）</x:v>
      </x:c>
      <x:c r="B9" s="36"/>
      <x:c r="C9" s="36"/>
      <x:c r="D9" s="36"/>
    </x:row>
    <x:row r="10" ht="30" customHeight="1">
      <x:c r="A10" s="13" t="str">
        <x:v>条件</x:v>
      </x:c>
      <x:c r="B10" s="13" t="str">
        <x:v>组 / 轮次</x:v>
      </x:c>
      <x:c r="C10" s="13" t="str">
        <x:v>公开诊断原文</x:v>
      </x:c>
      <x:c r="D10" s="13" t="str">
        <x:v>中文说明</x:v>
      </x:c>
    </x:row>
    <x:row r="11">
      <x:c r="A11" s="18" t="str">
        <x:v>No-Skill</x:v>
      </x:c>
      <x:c r="B11" s="18" t="str">
        <x:v>No-Skill-R1 / 第 1 轮</x:v>
      </x:c>
      <x:c r="C11" s="60" t="str">
        <x:v>../../../dev::test_note_exists FAILED                                    [ 33%]
../../../dev::test_diff_exists FAILED                                    [ 66%]
../../../dev::test_build_success FAILED                                  [100%]
=================================== FAILURES ===================================
"""Test if the agent summarized the changes made to fix the build error
the agent should write it to `&lt;container-path&gt;
note_path = GITHUB_ACTIONS_BUILD_PATH / "failed" / "failed_reasons.txt"
&gt;       assert note_path.exists(), "failed_reasons.txt does not exist"
E       AssertionError: failed_reasons.txt does not exist
E       assert False
E        +    where exists = PosixPath('&lt;container-path&gt;
/verifier/test_outputs.py:37: AssertionError
"""Test if the agent store the diff of the changes made to fix the build error
`&lt;container-path&gt;
failed_dir = GITHUB_ACTIONS_BUILD_PATH / "failed"
assert repo_id is not None, "REPO_ID environment variable is not set"
repo_dir = failed_dir / repo_id
&gt;       assert len(diffs) != 0, f"No patch_*.diff file found in {repo_dir}"
E       AssertionError: No patch_*.diff file found in &lt;container-path&gt;
E       assert 0 != 0
/verifier/test_outputs.py:63: AssertionError
We first copy the modified repository from failed/ to passed/,
NOTE: this task is to **fix** build errors in code/config file, not writing a build script.
# 1. copy the repository from failed/ to passed/
# Verify the failed directory still exists and is not empty
assert failed_dir.exists(), "failed/ directory does not exist"
assert any(failed_dir.iterdir()), "failed/ directory is empty"
# Remove the existing passed directory and copy from failed
shutil.copytree(failed_dir, passed_dir, symlinks=True)
print("Build failed in the passed job")
&gt;       assert result.returncode == 0, "Build failed in the passed job"
E       AssertionError: Build failed in the passed job
E       assert 1 == 0
E        +  where 1 = CompletedProcess(args='bash run_passed.sh', returncode=1, stdout=b"A job started hook has been configured by the self-hosted runner administrator
##[group]Run '/usr/local/bin/patch_and_cache_python.sh'
##[endgroup]
##[group]Operating System
Ubuntu
22.04
LTS
##[endgroup]
##[group]Run actions/setup-python@v2
##[endgroup]
::debug::Semantic version spec of 3.11 is 3.11
::debug::isExplicit: 
::debug::explicit? false
::debug::isExplicit: 3.10.13
::debug::explicit? true
::debug::isExplicit: 3.11.8
::debug::explicit? true
::debug::isExplicit: 3.12.2
::debug::explicit? true
::debug::isExplicit: 3.7.17
::debug::explicit? true
::debug::isExplicit: 3.8.18
::debug::explicit? true
::debug::isExplicit: 3.9.18
::debug::explicit? true
::debug::evaluating 6 versions
::debug::matched: 3.11.8
::debug::checking cache: /opt/hostedtoolcache/Python/3.11.8/x64
::debug::Found tool in cache Python 3.11.8 x64
Successfully setup CPython (3.11.8)
##[add-matcher]&lt;container-path&gt; pip install tox
##[endgroup]
Collecting tox
  Downloading tox-4.60.1-py3-none-any.whl.metadata (3.8 kB)
Collecting cachetools&gt;=...session already started
=========================== short test summary info ============================
FAILED tests/test_events.py::TestEvents::test_record_timestamp - AssertionErr...
FAILED tests/test_session.py::TestSessions::test_session - assert 2 == 1
FAILED tests/test_session.py::TestSessions::test_add_tags - AssertionError: a...
========================= 3 failed, 7 passed in 3.88s ==========================
py311: exit 1 (5.84 seconds) &lt;container-path&gt; coverage run --source agentops -m pytest pid=323
py311: FAIL \xe2\x9c\x96 in 57.98 seconds
py312: failed with could not find python interpreter matching any of the specs py312
  py37: FAIL code 1 (0.22 seconds)
  py38: FAIL code 1 (0.02 seconds)
  py39: FAIL code 1 (0.02 seconds)
  py310: FAIL code 1 (3434.49=setup[3428.87]+cmd[5.62] seconds)
  py311: FAIL code 1 (57.98=setup[52.14]+cmd[5.84] seconds)
  py312: FAIL code 1 (0.02 seconds)
  evaluation failed :( (3492.81 seconds)
##[error]Process completed with exit code 1.
A job completed hook has been configured by the self-hosted runner administrator
##[group]Run '/usr/local/bin/remove_wrapper_scripts.sh'
##[endgroup]
").returncode
/verifier/test_outputs.py:113: AssertionError
Build failed in the passed job
##[group]Run pip install tox
Collecting tox
Downloading tox-4.60.1-py3-none-any.whl.metadata (3.8 kB)
Collecting cachetools&gt;=7.0.3 (from tox)
Collecting colorama&gt;=0.4.6 (from tox)
Collecting filelock&gt;=3.25 (from tox)
Collecting packaging&gt;=26 (from tox)
Collecting platformdirs&gt;=4.9.4 (from tox)
Collecting pluggy&gt;=1.6 (from tox)
Collecting pyproject-api&gt;=1.10 (from tox)
Collecting python-discovery&gt;=1.4.4 (from tox)
Collecting tomli-w&gt;=1.2 (from tox)
Collecting typing-extensions&gt;=4.15 (from tox)
Collecting virtualenv&gt;=21.1 (from tox)
Collecting distlib&lt;1,&gt;=0.3.7 (from virtualenv&gt;=21.1-&gt;tox)
Downloading tox-4.60.1-py3-none-any.whl (226 kB)
Installing collected packages: distlib, typing-extensions, tomli-w, pluggy, platformdirs, packaging, filelock, colorama, cachetools, python-discovery, pyproject-api, virtualenv, tox
Successfully installed cachetools-7.1.7 colorama-0.4.6 distlib-0.4.3 filelock-3.32.4 packaging-26.3 platformdirs-4.11.4 pluggy-1.6.0 pyproject-api-1.11.0 python-discovery-1.5.3 tomli-w-1.2.0 tox-4.60.1 typing-extensions-4.16.0 virtualenv-21.7.5
##[group]Run tox
py37: failed with could not find python interpreter matching any of the specs py37
py38: failed with could not find python interpreter matching any of the specs py38
py39: failed with could not find python interpreter matching any of the specs py39
py310: install_package&gt; python -I -m pip install --force-reinstall --no-deps &lt;container-path&gt;
py310: agentops @ file://&lt;container-path&gt;
cachedir: .tox/py310/.pytest_cache
&gt;       assert event.init_timestamp != event.end_timestamp
E       AssertionError: assert '2026-08-26T22:24:47.765Z' != '2026-08-26T22:24:47.765Z'
tests/test_events.py:29: AssertionError
FAILED tests/test_events.py::TestEvents::test_record_timestamp - AssertionErr...
========================= 1 failed, 9 passed in 3.73s ==========================
py311: install_package&gt; python -I -m pip install --force-reinstall --no-deps &lt;container-path&gt;
py311: agentops @ file://&lt;container-path&gt;
cachedir: .tox/py311/.pytest_cache
E       AssertionError: assert '2026-08-26T22:25:45.864Z' != '2026-08-26T22:25:45.864Z'
&gt;       assert len(mock_req.request_history) == 1
E       assert 2 == 1
tests/test_session.py:30: AssertionError
# Assert 3 requests, 1 for session init, 1 for event, 1 for end session
assert mock_req.last_request.headers['X-Agentops-Auth'] == self.api_key
assert request_json['session']['end_state'] == end_state
&gt;       assert request_json['session']['tags'] == ['GPT-4', 'test-tag', 'dupe-tag']
E       AssertionError: assert ['test-tag', 'dupe-tag'] == ['GPT-4', 'te...', 'dupe-tag']
tests/test_session.py:67: AssertionError
FAILED tests/test_session.py::TestSessions::test_session - assert 2 == 1
FAILED tests/test_session.py::TestSessions::test_add_tags - AssertionError: a...
========================= 3 failed, 7 passed in 3.88s ==========================
py312: failed with could not find python interpreter matching any of the specs py312
evaluation failed :( (3492.81 seconds)
##[error]Process completed with exit code 1.
FAILED ../../../dev::test_note_exists - AssertionError: failed_reasons.txt do...
FAILED ../../../dev::test_diff_exists - AssertionError: No patch_*.diff file ...
FAILED ../../../dev::test_build_success - AssertionError: Build failed in the...
======================== 3 failed in 3511.16s (0:58:31) ========================
+ exceptiongroup==1.3.1</x:v>
      </x:c>
      <x:c r="D11" s="18" t="str">
        <x:v>No-Skill 依靠公开 Verifier 失败定位问题；R02 在 6 轮内仍未通过，因此保留为任务结果。</x:v>
      </x:c>
    </x:row>
    <x:row r="12">
      <x:c r="A12" s="17" t="str">
        <x:v>Native</x:v>
      </x:c>
      <x:c r="B12" s="17" t="str">
        <x:v>Native-R1 / 第 1 轮</x:v>
      </x:c>
      <x:c r="C12" s="61" t="str">
        <x:v>../../../dev::test_note_exists FAILED                                    [ 33%]
../../../dev::test_diff_exists FAILED                                    [ 66%]
../../../dev::test_build_success FAILED                                  [100%]
=================================== FAILURES ===================================
"""Test if the agent summarized the changes made to fix the build error
the agent should write it to `&lt;container-path&gt;
note_path = GITHUB_ACTIONS_BUILD_PATH / "failed" / "failed_reasons.txt"
&gt;       assert note_path.exists(), "failed_reasons.txt does not exist"
E       AssertionError: failed_reasons.txt does not exist
E       assert False
E        +    where exists = PosixPath('&lt;container-path&gt;
/verifier/test_outputs.py:37: AssertionError
"""Test if the agent store the diff of the changes made to fix the build error
`&lt;container-path&gt;
failed_dir = GITHUB_ACTIONS_BUILD_PATH / "failed"
assert repo_id is not None, "REPO_ID environment variable is not set"
repo_dir = failed_dir / repo_id
&gt;       assert len(diffs) != 0, f"No patch_*.diff file found in {repo_dir}"
E       AssertionError: No patch_*.diff file found in &lt;container-path&gt;
E       assert 0 != 0
/verifier/test_outputs.py:63: AssertionError
We first copy the modified repository from failed/ to passed/,
NOTE: this task is to **fix** build errors in code/config file, not writing a build script.
# 1. copy the repository from failed/ to passed/
# Verify the failed directory still exists and is not empty
assert failed_dir.exists(), "failed/ directory does not exist"
assert any(failed_dir.iterdir()), "failed/ directory is empty"
# Remove the existing passed directory and copy from failed
shutil.copytree(failed_dir, passed_dir, symlinks=True)
print("Build failed in the passed job")
&gt;       assert result.returncode == 0, "Build failed in the passed job"
E       AssertionError: Build failed in the passed job
E       assert 1 == 0
E        +  where 1 = CompletedProcess(args='bash run_passed.sh', returncode=1, stdout=b"A job started hook has been configured by the self-hosted runner administrator
##[group]Run '/usr/local/bin/patch_and_cache_python.sh'
##[endgroup]
##[group]Operating System
Ubuntu
22.04
LTS
##[endgroup]
##[group]Run actions/setup-python@v2
##[endgroup]
::debug::Semantic version spec of 3.11 is 3.11
::debug::isExplicit: 
::debug::explicit? false
::debug::isExplicit: 3.10.13
::debug::explicit? true
::debug::isExplicit: 3.11.8
::debug::explicit? true
::debug::isExplicit: 3.12.2
::debug::explicit? true
::debug::isExplicit: 3.7.17
::debug::explicit? true
::debug::isExplicit: 3.8.18
::debug::explicit? true
::debug::isExplicit: 3.9.18
::debug::explicit? true
::debug::evaluating 6 versions
::debug::matched: 3.11.8
::debug::checking cache: /opt/hostedtoolcache/Python/3.11.8/x64
::debug::Found tool in cache Python 3.11.8 x64
Successfully setup CPython (3.11.8)
##[add-matcher]&lt;container-path&gt; pip install tox
##[endgroup]
Collecting tox
  Downloading tox-4.60.1-py3-none-any.whl.metadata (3.8 kB)
Collecting cachetools&gt;=...ready started
=========================== short test summary info ============================
FAILED tests/test_events.py::TestEvents::test_record_timestamp - AssertionErr...
FAILED tests/test_session.py::TestSessions::test_session - assert 2 == 1
FAILED tests/test_session.py::TestSessions::test_add_tags - AssertionError: a...
========================= 3 failed, 7 passed in 6.25s ==========================
py311: exit 1 (10.87 seconds) &lt;container-path&gt; coverage run --source agentops -m pytest pid=322
py311: FAIL \xe2\x9c\x96 in 1 minute 46.52 seconds
py312: failed with could not find python interpreter matching any of the specs py312
  py37: FAIL code 1 (0.43 seconds)
  py38: FAIL code 1 (0.03 seconds)
  py39: FAIL code 1 (0.04 seconds)
  py310: FAIL code 1 (148.43=setup[136.71]+cmd[11.72] seconds)
  py311: FAIL code 1 (106.52=setup[95.65]+cmd[10.87] seconds)
  py312: FAIL code 1 (0.03 seconds)
  evaluation failed :( (255.58 seconds)
##[error]Process completed with exit code 1.
A job completed hook has been configured by the self-hosted runner administrator
##[group]Run '/usr/local/bin/remove_wrapper_scripts.sh'
##[endgroup]
").returncode
/verifier/test_outputs.py:113: AssertionError
Build failed in the passed job
##[group]Run pip install tox
Collecting tox
Downloading tox-4.60.1-py3-none-any.whl.metadata (3.8 kB)
Collecting cachetools&gt;=7.0.3 (from tox)
Collecting colorama&gt;=0.4.6 (from tox)
Collecting filelock&gt;=3.25 (from tox)
Collecting packaging&gt;=26 (from tox)
Collecting platformdirs&gt;=4.9.4 (from tox)
Collecting pluggy&gt;=1.6 (from tox)
Collecting pyproject-api&gt;=1.10 (from tox)
Collecting python-discovery&gt;=1.4.4 (from tox)
Collecting tomli-w&gt;=1.2 (from tox)
Collecting typing-extensions&gt;=4.15 (from tox)
Collecting virtualenv&gt;=21.1 (from tox)
Collecting distlib&lt;1,&gt;=0.3.7 (from virtualenv&gt;=21.1-&gt;tox)
Downloading tox-4.60.1-py3-none-any.whl (226 kB)
Installing collected packages: distlib, typing-extensions, tomli-w, pluggy, platformdirs, packaging, filelock, colorama, cachetools, python-discovery, pyproject-api, virtualenv, tox
Successfully installed cachetools-7.1.7 colorama-0.4.6 distlib-0.4.3 filelock-3.32.4 packaging-26.3 platformdirs-4.11.4 pluggy-1.6.0 pyproject-api-1.11.0 python-discovery-1.5.3 tomli-w-1.2.0 tox-4.60.1 typing-extensions-4.16.0 virtualenv-21.7.5
##[group]Run tox
py37: failed with could not find python interpreter matching any of the specs py37
py38: failed with could not find python interpreter matching any of the specs py38
py39: failed with could not find python interpreter matching any of the specs py39
.pkg: remove tox env folder &lt;container-path&gt;
py310: install_package&gt; python -I -m pip install --force-reinstall --no-deps &lt;container-path&gt;
py310: agentops @ file://&lt;container-path&gt;
cachedir: .tox/py310/.pytest_cache
&gt;       assert event.init_timestamp != event.end_timestamp
E       AssertionError: assert '2026-08-27T01:13:56.760Z' != '2026-08-27T01:13:56.760Z'
tests/test_events.py:29: AssertionError
FAILED tests/test_events.py::TestEvents::test_record_timestamp - AssertionErr...
========================= 1 failed, 9 passed in 7.10s ==========================
py311: install_package&gt; python -I -m pip install --force-reinstall --no-deps &lt;container-path&gt;
py311: agentops @ file://&lt;container-path&gt;
cachedir: .tox/py311/.pytest_cache
E       AssertionError: assert '2026-08-27T01:15:43.485Z' != '2026-08-27T01:15:43.485Z'
&gt;       assert len(mock_req.request_history) == 1
E       assert 2 == 1
tests/test_session.py:30: AssertionError
# Assert 3 requests, 1 for session init, 1 for event, 1 for end session
assert mock_req.last_request.headers['X-Agentops-Auth'] == self.api_key
assert request_json['session']['end_state'] == end_state
&gt;       assert request_json['session']['tags'] == ['GPT-4', 'test-tag', 'dupe-tag']
E       AssertionError: assert ['test-tag', 'dupe-tag'] == ['GPT-4', 'te...', 'dupe-tag']
tests/test_session.py:67: AssertionError
FAILED tests/test_session.py::TestSessions::test_session - assert 2 == 1
FAILED tests/test_session.py::TestSessions::test_add_tags - AssertionError: a...
========================= 3 failed, 7 passed in 6.25s ==========================
py312: failed with could not find python interpreter matching any of the specs py312
evaluation failed :( (255.58 seconds)
##[error]Process completed with exit code 1.
FAILED ../../../dev::test_note_exists - AssertionError: failed_reasons.txt do...
FAILED ../../../dev::test_diff_exists - AssertionError: No patch_*.diff file ...
FAILED ../../../dev::test_build_success - AssertionError: Build failed in the...
======================== 3 failed in 289.33s (0:04:49) =========================
+ exceptiongroup==1.3.1</x:v>
      </x:c>
      <x:c r="D12" s="17" t="str">
        <x:v>Native 首轮公开失败后继续使用可见原始模块，最终通过。</x:v>
      </x:c>
    </x:row>
    <x:row r="13">
      <x:c r="A13" s="18" t="str">
        <x:v>PD-VISTA</x:v>
      </x:c>
      <x:c r="B13" s="18" t="str">
        <x:v>PD-VISTA-R1 / 第 1 轮</x:v>
      </x:c>
      <x:c r="C13" s="60" t="str">
        <x:v>../../../dev::test_note_exists FAILED                                    [ 33%]
../../../dev::test_diff_exists FAILED                                    [ 66%]
../../../dev::test_build_success FAILED                                  [100%]
=================================== FAILURES ===================================
"""Test if the agent summarized the changes made to fix the build error
the agent should write it to `&lt;container-path&gt;
note_path = GITHUB_ACTIONS_BUILD_PATH / "failed" / "failed_reasons.txt"
&gt;       assert note_path.exists(), "failed_reasons.txt does not exist"
E       AssertionError: failed_reasons.txt does not exist
E       assert False
E        +    where exists = PosixPath('&lt;container-path&gt;
/verifier/test_outputs.py:37: AssertionError
"""Test if the agent store the diff of the changes made to fix the build error
`&lt;container-path&gt;
failed_dir = GITHUB_ACTIONS_BUILD_PATH / "failed"
assert repo_id is not None, "REPO_ID environment variable is not set"
repo_dir = failed_dir / repo_id
&gt;       assert len(diffs) != 0, f"No patch_*.diff file found in {repo_dir}"
E       AssertionError: No patch_*.diff file found in &lt;container-path&gt;
E       assert 0 != 0
/verifier/test_outputs.py:63: AssertionError
We first copy the modified repository from failed/ to passed/,
NOTE: this task is to **fix** build errors in code/config file, not writing a build script.
# 1. copy the repository from failed/ to passed/
# Verify the failed directory still exists and is not empty
assert failed_dir.exists(), "failed/ directory does not exist"
assert any(failed_dir.iterdir()), "failed/ directory is empty"
# Remove the existing passed directory and copy from failed
shutil.copytree(failed_dir, passed_dir, symlinks=True)
print("Build failed in the passed job")
&gt;       assert result.returncode == 0, "Build failed in the passed job"
E       AssertionError: Build failed in the passed job
E       assert 1 == 0
E        +  where 1 = CompletedProcess(args='bash run_passed.sh', returncode=1, stdout=b"A job started hook has been configured by the self-hosted runner administrator
##[group]Run '/usr/local/bin/patch_and_cache_python.sh'
##[endgroup]
##[group]Operating System
Ubuntu
22.04
LTS
##[endgroup]
##[group]Run actions/setup-python@v2
##[endgroup]
::debug::Semantic version spec of 3.11 is 3.11
::debug::isExplicit: 
::debug::explicit? false
::debug::isExplicit: 3.10.13
::debug::explicit? true
::debug::isExplicit: 3.11.8
::debug::explicit? true
::debug::isExplicit: 3.12.2
::debug::explicit? true
::debug::isExplicit: 3.7.17
::debug::explicit? true
::debug::isExplicit: 3.8.18
::debug::explicit? true
::debug::isExplicit: 3.9.18
::debug::explicit? true
::debug::evaluating 6 versions
::debug::matched: 3.11.8
::debug::checking cache: /opt/hostedtoolcache/Python/3.11.8/x64
::debug::Found tool in cache Python 3.11.8 x64
Successfully setup CPython (3.11.8)
##[add-matcher]&lt;container-path&gt; pip install tox
##[endgroup]
Collecting tox
  Downloading tox-4.60.1-py3-none-any.whl.metadata (3.8 kB)
Collecting cachetools&gt;=...-------------------------- Captured log call -------------------------------
WARNING  agentops:client.py:142 \xf0\x9f\x96\x87 AgentOps: Cannot record event - no current session
=========================== short test summary info ============================
FAILED tests/test_events.py::TestEvents::test_record_timestamp - AssertionErr...
========================= 1 failed, 9 passed in 4.93s ==========================
py311: exit 1 (8.01 seconds) &lt;container-path&gt; coverage run --source agentops -m pytest pid=324
py311: FAIL \xe2\x9c\x96 in 1 minute 5.8 seconds
py312: failed with could not find python interpreter matching any of the specs py312
  py37: FAIL code 1 (0.37 seconds)
  py38: FAIL code 1 (0.02 seconds)
  py39: FAIL code 1 (0.03 seconds)
  py310: FAIL code 1 (93.40=setup[86.83]+cmd[6.57] seconds)
  py311: FAIL code 1 (65.80=setup[57.79]+cmd[8.01] seconds)
  py312: FAIL code 1 (0.03 seconds)
  evaluation failed :( (159.74 seconds)
##[error]Process completed with exit code 1.
A job completed hook has been configured by the self-hosted runner administrator
##[group]Run '/usr/local/bin/remove_wrapper_scripts.sh'
##[endgroup]
").returncode
/verifier/test_outputs.py:113: AssertionError
Build failed in the passed job
##[group]Run pip install tox
Collecting tox
Downloading tox-4.60.1-py3-none-any.whl.metadata (3.8 kB)
Collecting cachetools&gt;=7.0.3 (from tox)
Collecting colorama&gt;=0.4.6 (from tox)
Collecting filelock&gt;=3.25 (from tox)
Collecting packaging&gt;=26 (from tox)
Collecting platformdirs&gt;=4.9.4 (from tox)
Collecting pluggy&gt;=1.6 (from tox)
Collecting pyproject-api&gt;=1.10 (from tox)
Collecting python-discovery&gt;=1.4.4 (from tox)
Collecting tomli-w&gt;=1.2 (from tox)
Collecting typing-extensions&gt;=4.15 (from tox)
Collecting virtualenv&gt;=21.1 (from tox)
Collecting distlib&lt;1,&gt;=0.3.7 (from virtualenv&gt;=21.1-&gt;tox)
Downloading tox-4.60.1-py3-none-any.whl (226 kB)
Installing collected packages: distlib, typing-extensions, tomli-w, pluggy, platformdirs, packaging, filelock, colorama, cachetools, python-discovery, pyproject-api, virtualenv, tox
Successfully installed cachetools-7.1.7 colorama-0.4.6 distlib-0.4.3 filelock-3.32.4 packaging-26.3 platformdirs-4.11.4 pluggy-1.6.0 pyproject-api-1.11.0 python-discovery-1.5.3 tomli-w-1.2.0 tox-4.60.1 typing-extensions-4.16.0 virtualenv-21.7.5
##[group]Run tox
py37: failed with could not find python interpreter matching any of the specs py37
py38: failed with could not find python interpreter matching any of the specs py38
py39: failed with could not find python interpreter matching any of the specs py39
py310: install_package&gt; python -I -m pip install --force-reinstall --no-deps &lt;container-path&gt;
py310: agentops @ file://&lt;container-path&gt;
cachedir: .tox/py310/.pytest_cache
&gt;       assert event.init_timestamp != event.end_timestamp
E       AssertionError: assert '2026-08-27T01:48:40.029Z' != '2026-08-27T01:48:40.029Z'
tests/test_events.py:29: AssertionError
FAILED tests/test_events.py::TestEvents::test_record_timestamp - AssertionErr...
========================= 1 failed, 9 passed in 4.28s ==========================
py311: install_package&gt; python -I -m pip install --force-reinstall --no-deps &lt;container-path&gt;
py311: agentops @ file://&lt;container-path&gt;
cachedir: .tox/py311/.pytest_cache
E       AssertionError: assert '2026-08-27T01:49:45.286Z' != '2026-08-27T01:49:45.286Z'
========================= 1 failed, 9 passed in 4.93s ==========================
py312: failed with could not find python interpreter matching any of the specs py312
evaluation failed :( (159.74 seconds)
##[error]Process completed with exit code 1.
FAILED ../../../dev::test_note_exists - AssertionError: failed_reasons.txt do...
FAILED ../../../dev::test_diff_exists - AssertionError: No patch_*.diff file ...
FAILED ../../../dev::test_build_success - AssertionError: Build failed in the...
======================== 3 failed in 177.17s (0:02:57) =========================
+ exceptiongroup==1.3.1</x:v>
      </x:c>
      <x:c r="D13" s="18" t="str">
        <x:v>PD-VISTA 依据公开失败类型触发相关模块披露，并在下一轮核对实际访问。</x:v>
      </x:c>
    </x:row>
    <x:row r="15">
      <x:c r="A15" s="7" t="str">
        <x:v>失败/通过判定说明：最终 Verifier 通过与否是任务成功指标；普通任务失败不打断后续组。共享 429 尝试单独列在“排除与诊断”，不纳入 9 组正式统计。</x:v>
      </x:c>
      <x:c r="B15" s="7"/>
      <x:c r="C15" s="7"/>
      <x:c r="D15" s="7"/>
    </x:row>
  </x:sheetData>
  <x:mergeCells>
    <x:mergeCell ref="A1:D1"/>
    <x:mergeCell ref="A2:D2"/>
    <x:mergeCell ref="A9:D9"/>
    <x:mergeCell ref="A15:D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70" hidden="0" customWidth="1"/>
    <x:col min="5" max="5" width="26" hidden="0" customWidth="1"/>
    <x:col min="6" max="6" width="10" hidden="0" customWidth="1"/>
    <x:col min="7" max="7" width="26" hidden="0" customWidth="1"/>
    <x:col min="8" max="8" width="12" hidden="0" customWidth="1"/>
    <x:col min="9" max="9" width="24" hidden="0" customWidth="1"/>
  </x:cols>
  <x:sheetData>
    <x:row r="1" ht="28" customHeight="1">
      <x:c r="A1" s="4" t="str">
        <x:v>PD-VISTA 披露证据与干净闭环</x:v>
      </x:c>
      <x:c r="B1" s="4" t="str">
        <x:v>PD-VISTA 披露证据与干净闭环</x:v>
      </x:c>
      <x:c r="C1" s="4" t="str">
        <x:v>PD-VISTA 披露证据与干净闭环</x:v>
      </x:c>
      <x:c r="D1" s="4" t="str">
        <x:v>PD-VISTA 披露证据与干净闭环</x:v>
      </x:c>
      <x:c r="E1" s="4" t="str">
        <x:v>PD-VISTA 披露证据与干净闭环</x:v>
      </x:c>
      <x:c r="F1" s="4" t="str">
        <x:v>PD-VISTA 披露证据与干净闭环</x:v>
      </x:c>
      <x:c r="G1" s="4" t="str">
        <x:v>PD-VISTA 披露证据与干净闭环</x:v>
      </x:c>
      <x:c r="H1" s="4" t="str">
        <x:v>PD-VISTA 披露证据与干净闭环</x:v>
      </x:c>
      <x:c r="I1" s="4" t="str">
        <x:v>PD-VISTA 披露证据与干净闭环</x:v>
      </x:c>
    </x:row>
    <x:row r="2">
      <x:c r="A2" s="7" t="str">
        <x:v>披露严格按反馈触发：初始只给根路由，单轮最多披露一个模块；“下一轮实际访问”来自下一轮 event_summary 中真实读取记录。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3" t="str">
        <x:v>组ID</x:v>
      </x:c>
      <x:c r="B4" s="13" t="str">
        <x:v>重复</x:v>
      </x:c>
      <x:c r="C4" s="13" t="str">
        <x:v>公开失败触发机会</x:v>
      </x:c>
      <x:c r="D4" s="13" t="str">
        <x:v>可路由反馈</x:v>
      </x:c>
      <x:c r="E4" s="13" t="str">
        <x:v>成功披露次数</x:v>
      </x:c>
      <x:c r="F4" s="13" t="str">
        <x:v>实际披露模块</x:v>
      </x:c>
      <x:c r="G4" s="13" t="str">
        <x:v>下一轮实际访问次数</x:v>
      </x:c>
      <x:c r="H4" s="13" t="str">
        <x:v>干净闭环</x:v>
      </x:c>
      <x:c r="I4" s="13" t="str">
        <x:v>Verifier</x:v>
      </x:c>
    </x:row>
    <x:row r="5">
      <x:c r="A5" s="18" t="str">
        <x:v>PD-VISTA-R1</x:v>
      </x:c>
      <x:c r="B5" s="18" t="n">
        <x:v>1</x:v>
      </x:c>
      <x:c r="C5" s="18" t="n">
        <x:v>3</x:v>
      </x:c>
      <x:c r="D5" s="18" t="n">
        <x:v>3</x:v>
      </x:c>
      <x:c r="E5" s="18" t="n">
        <x:v>2</x:v>
      </x:c>
      <x:c r="F5" s="18" t="str">
        <x:v>analyze-ci、testing-python</x:v>
      </x:c>
      <x:c r="G5" s="18" t="n">
        <x:v>2</x:v>
      </x:c>
      <x:c r="H5" s="18" t="str">
        <x:v>是</x:v>
      </x:c>
      <x:c r="I5" s="18" t="str">
        <x:v>通过</x:v>
      </x:c>
    </x:row>
    <x:row r="6">
      <x:c r="A6" s="17" t="str">
        <x:v>PD-VISTA-R2</x:v>
      </x:c>
      <x:c r="B6" s="17" t="n">
        <x:v>2</x:v>
      </x:c>
      <x:c r="C6" s="17" t="n">
        <x:v>5</x:v>
      </x:c>
      <x:c r="D6" s="17" t="n">
        <x:v>5</x:v>
      </x:c>
      <x:c r="E6" s="17" t="n">
        <x:v>2</x:v>
      </x:c>
      <x:c r="F6" s="17" t="str">
        <x:v>analyze-ci、testing-python</x:v>
      </x:c>
      <x:c r="G6" s="17" t="n">
        <x:v>2</x:v>
      </x:c>
      <x:c r="H6" s="17" t="str">
        <x:v>是</x:v>
      </x:c>
      <x:c r="I6" s="17" t="str">
        <x:v>通过</x:v>
      </x:c>
    </x:row>
    <x:row r="7">
      <x:c r="A7" s="18" t="str">
        <x:v>PD-VISTA-R3</x:v>
      </x:c>
      <x:c r="B7" s="18" t="n">
        <x:v>3</x:v>
      </x:c>
      <x:c r="C7" s="18" t="n">
        <x:v>1</x:v>
      </x:c>
      <x:c r="D7" s="18" t="n">
        <x:v>1</x:v>
      </x:c>
      <x:c r="E7" s="18" t="n">
        <x:v>1</x:v>
      </x:c>
      <x:c r="F7" s="18" t="str">
        <x:v>analyze-ci</x:v>
      </x:c>
      <x:c r="G7" s="18" t="n">
        <x:v>1</x:v>
      </x:c>
      <x:c r="H7" s="18" t="str">
        <x:v>是</x:v>
      </x:c>
      <x:c r="I7" s="18" t="str">
        <x:v>通过</x:v>
      </x:c>
    </x:row>
    <x:row r="9">
      <x:c r="A9" s="36" t="str">
        <x:v>逐次披露证据（触发轮 → 下一轮访问）</x:v>
      </x:c>
      <x:c r="B9" s="36"/>
      <x:c r="C9" s="36"/>
      <x:c r="D9" s="36"/>
      <x:c r="E9" s="36"/>
      <x:c r="F9" s="36"/>
      <x:c r="G9" s="36"/>
      <x:c r="H9" s="36"/>
      <x:c r="I9" s="36"/>
    </x:row>
    <x:row r="10" ht="30" customHeight="1">
      <x:c r="A10" s="13" t="str">
        <x:v>组ID</x:v>
      </x:c>
      <x:c r="B10" s="13" t="str">
        <x:v>触发轮</x:v>
      </x:c>
      <x:c r="C10" s="13" t="str">
        <x:v>反馈类型</x:v>
      </x:c>
      <x:c r="D10" s="13" t="str">
        <x:v>公开诊断摘要</x:v>
      </x:c>
      <x:c r="E10" s="13" t="str">
        <x:v>披露模块</x:v>
      </x:c>
      <x:c r="F10" s="13" t="str">
        <x:v>下一轮</x:v>
      </x:c>
      <x:c r="G10" s="13" t="str">
        <x:v>实际访问模块</x:v>
      </x:c>
      <x:c r="H10" s="13" t="str">
        <x:v>实际访问</x:v>
      </x:c>
      <x:c r="I10" s="13" t="str">
        <x:v>审计判定</x:v>
      </x:c>
    </x:row>
    <x:row r="11">
      <x:c r="A11" s="18" t="str">
        <x:v>PD-VISTA-R1</x:v>
      </x:c>
      <x:c r="B11" s="18" t="n">
        <x:v>1</x:v>
      </x:c>
      <x:c r="C11" s="18" t="str">
        <x:v>runtime_error</x:v>
      </x:c>
      <x:c r="D11" s="18" t="str">
        <x:v>../../../dev::test_note_exists FAILED                                    [ 33%]
../../../dev::test_diff_exists FAILED                                    [ 66%]
../../../dev::test_build_success FAILED                                  [100%]
=================================== FAILURES ===================================
"""Test if the agent summarized the changes made to fix the build error
the agent should write it to `&lt;container-path&gt;
note_path = GITHUB_ACTIONS_BUILD_PATH / "failed" / "failed_reasons.txt"
&gt;       assert note_path.exists(), "failed_reasons.txt does not exist"
E       AssertionError: failed_reasons.txt does not exist
E       assert False
E        +    where exists = PosixPath('&lt;container-path&gt;
/verifier/test_outputs.py:37: AssertionError
"""Test if the agent store the diff of the changes made to fix the build error
`&lt;container-path&gt;
failed_dir = GITHUB_ACTIONS_BUILD_PATH </x:v>
      </x:c>
      <x:c r="E11" s="18" t="str">
        <x:v>analyze-ci</x:v>
      </x:c>
      <x:c r="F11" s="18" t="n">
        <x:v>2</x:v>
      </x:c>
      <x:c r="G11" s="18" t="str">
        <x:v>analyze-ci</x:v>
      </x:c>
      <x:c r="H11" s="18" t="str">
        <x:v>是</x:v>
      </x:c>
      <x:c r="I11" s="18" t="str">
        <x:v>通过：下一轮实际读取</x:v>
      </x:c>
    </x:row>
    <x:row r="12">
      <x:c r="A12" s="17" t="str">
        <x:v>PD-VISTA-R1</x:v>
      </x:c>
      <x:c r="B12" s="17" t="n">
        <x:v>3</x:v>
      </x:c>
      <x:c r="C12" s="17" t="str">
        <x:v>test_failure、assertion_error</x:v>
      </x:c>
      <x:c r="D12" s="17" t="str">
        <x:v>../../../dev::test_build_success FAILED                                  [100%]
=================================== FAILURES ===================================
We first copy the modified repository from failed/ to passed/,
NOTE: this task is to **fix** build errors in code/config file, not writing a build script.
# 1. copy the repository from failed/ to passed/
failed_dir = GITHUB_ACTIONS_BUILD_PATH / "failed"
# Verify the failed directory still exists and is not empty
assert failed_dir.exists(), "failed/ directory does not exist"
assert any(failed_dir.iterdir()), "failed/ directory is empty"
# Remove the existing passed directory and copy from failed
shutil.copytree(failed_dir, passed_dir, symlinks=True)
print("Build failed in the passed job")
&gt;       assert result.returncode == 0, "Build failed in the passed job"
E       AssertionError: Build failed in the passed job
E       assert 1 </x:v>
      </x:c>
      <x:c r="E12" s="17" t="str">
        <x:v>testing-python</x:v>
      </x:c>
      <x:c r="F12" s="17" t="n">
        <x:v>4</x:v>
      </x:c>
      <x:c r="G12" s="17" t="str">
        <x:v>testing-python</x:v>
      </x:c>
      <x:c r="H12" s="17" t="str">
        <x:v>是</x:v>
      </x:c>
      <x:c r="I12" s="17" t="str">
        <x:v>通过：下一轮实际读取</x:v>
      </x:c>
    </x:row>
    <x:row r="13">
      <x:c r="A13" s="18" t="str">
        <x:v>PD-VISTA-R2</x:v>
      </x:c>
      <x:c r="B13" s="18" t="n">
        <x:v>1</x:v>
      </x:c>
      <x:c r="C13" s="18" t="str">
        <x:v>runtime_error</x:v>
      </x:c>
      <x:c r="D13" s="18" t="str">
        <x:v>../../../dev::test_diff_exists FAILED                                    [ 66%]
../../../dev::test_build_success FAILED                                  [100%]
=================================== FAILURES ===================================
"""Test if the agent store the diff of the changes made to fix the build error
`&lt;container-path&gt;
failed_dir = GITHUB_ACTIONS_BUILD_PATH / "failed"
assert repo_id is not None, "REPO_ID environment variable is not set"
repo_dir = failed_dir / repo_id
&gt;       assert len(diffs) != 0, f"No patch_*.diff file found in {repo_dir}"
E       AssertionError: No patch_*.diff file found in &lt;container-path&gt;
E       assert 0 != 0
/verifier/test_outputs.py:63: AssertionError
We first copy the modified repository from failed/ to passed/,
NOTE: this task is to **fix** build errors in code/config file, not writing a build script.
# 1. copy the repository from failed/ to </x:v>
      </x:c>
      <x:c r="E13" s="18" t="str">
        <x:v>analyze-ci</x:v>
      </x:c>
      <x:c r="F13" s="18" t="n">
        <x:v>2</x:v>
      </x:c>
      <x:c r="G13" s="18" t="str">
        <x:v>analyze-ci</x:v>
      </x:c>
      <x:c r="H13" s="18" t="str">
        <x:v>是</x:v>
      </x:c>
      <x:c r="I13" s="18" t="str">
        <x:v>通过：下一轮实际读取</x:v>
      </x:c>
    </x:row>
    <x:row r="14">
      <x:c r="A14" s="17" t="str">
        <x:v>PD-VISTA-R2</x:v>
      </x:c>
      <x:c r="B14" s="17" t="n">
        <x:v>2</x:v>
      </x:c>
      <x:c r="C14" s="17" t="str">
        <x:v>test_failure、assertion_error</x:v>
      </x:c>
      <x:c r="D14" s="17" t="str">
        <x:v>../../../dev::test_diff_exists FAILED                                    [ 66%]
../../../dev::test_build_success FAILED                                  [100%]
=================================== FAILURES ===================================
"""Test if the agent store the diff of the changes made to fix the build error
`&lt;container-path&gt;
failed_dir = GITHUB_ACTIONS_BUILD_PATH / "failed"
assert repo_id is not None, "REPO_ID environment variable is not set"
repo_dir = failed_dir / repo_id
&gt;       assert len(diffs) != 0, f"No patch_*.diff file found in {repo_dir}"
E       AssertionError: No patch_*.diff file found in &lt;container-path&gt;
E       assert 0 != 0
/verifier/test_outputs.py:63: AssertionError
We first copy the modified repository from failed/ to passed/,
NOTE: this task is to **fix** build errors in code/config file, not writing a build script.
# 1. copy the repository from failed/ to </x:v>
      </x:c>
      <x:c r="E14" s="17" t="str">
        <x:v>testing-python</x:v>
      </x:c>
      <x:c r="F14" s="17" t="n">
        <x:v>3</x:v>
      </x:c>
      <x:c r="G14" s="17" t="str">
        <x:v>testing-python</x:v>
      </x:c>
      <x:c r="H14" s="17" t="str">
        <x:v>是</x:v>
      </x:c>
      <x:c r="I14" s="17" t="str">
        <x:v>通过：下一轮实际读取</x:v>
      </x:c>
    </x:row>
    <x:row r="15">
      <x:c r="A15" s="18" t="str">
        <x:v>PD-VISTA-R3</x:v>
      </x:c>
      <x:c r="B15" s="18" t="n">
        <x:v>1</x:v>
      </x:c>
      <x:c r="C15" s="18" t="str">
        <x:v>runtime_error</x:v>
      </x:c>
      <x:c r="D15" s="18" t="str">
        <x:v>../../../dev::test_build_success FAILED                                  [100%]
=================================== FAILURES ===================================
We first copy the modified repository from failed/ to passed/,
NOTE: this task is to **fix** build errors in code/config file, not writing a build script.
# 1. copy the repository from failed/ to passed/
failed_dir = GITHUB_ACTIONS_BUILD_PATH / "failed"
# Verify the failed directory still exists and is not empty
assert failed_dir.exists(), "failed/ directory does not exist"
assert any(failed_dir.iterdir()), "failed/ directory is empty"
# Remove the existing passed directory and copy from failed
shutil.copytree(failed_dir, passed_dir, symlinks=True)
print("Build failed in the passed job")
&gt;       assert result.returncode == 0, "Build failed in the passed job"
E       AssertionError: Build failed in the passed job
E       assert 1 </x:v>
      </x:c>
      <x:c r="E15" s="18" t="str">
        <x:v>analyze-ci</x:v>
      </x:c>
      <x:c r="F15" s="18" t="n">
        <x:v>2</x:v>
      </x:c>
      <x:c r="G15" s="18" t="str">
        <x:v>analyze-ci</x:v>
      </x:c>
      <x:c r="H15" s="18" t="str">
        <x:v>是</x:v>
      </x:c>
      <x:c r="I15" s="18" t="str">
        <x:v>通过：下一轮实际读取</x:v>
      </x:c>
    </x:row>
    <x:row r="17">
      <x:c r="A17" s="64" t="str">
        <x:v>闭环判定：PD-VISTA 三组均 final_verifier_pass=true；每个披露事件均记录了 module_id 与下一轮实际读取结果，clean_complete_closure=1。</x:v>
      </x:c>
      <x:c r="B17" s="64"/>
      <x:c r="C17" s="64"/>
      <x:c r="D17" s="64"/>
      <x:c r="E17" s="64"/>
      <x:c r="F17" s="64"/>
      <x:c r="G17" s="64"/>
      <x:c r="H17" s="64"/>
      <x:c r="I17" s="64"/>
    </x:row>
  </x:sheetData>
  <x:mergeCells>
    <x:mergeCell ref="A1:I1"/>
    <x:mergeCell ref="A2:I2"/>
    <x:mergeCell ref="A9:I9"/>
    <x:mergeCell ref="A17:I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22" hidden="0" customWidth="1"/>
    <x:col min="4" max="4" width="15" hidden="0" customWidth="1"/>
    <x:col min="5" max="5" width="48" hidden="0" customWidth="1"/>
    <x:col min="6" max="6" width="16" hidden="0" customWidth="1"/>
    <x:col min="7" max="7" width="70" hidden="0" customWidth="1"/>
  </x:cols>
  <x:sheetData>
    <x:row r="1" ht="28" customHeight="1">
      <x:c r="A1" s="4" t="str">
        <x:v>排除批次、429 限流与诊断记录</x:v>
      </x:c>
      <x:c r="B1" s="4" t="str">
        <x:v>排除批次、429 限流与诊断记录</x:v>
      </x:c>
      <x:c r="C1" s="4" t="str">
        <x:v>排除批次、429 限流与诊断记录</x:v>
      </x:c>
      <x:c r="D1" s="4" t="str">
        <x:v>排除批次、429 限流与诊断记录</x:v>
      </x:c>
      <x:c r="E1" s="4" t="str">
        <x:v>排除批次、429 限流与诊断记录</x:v>
      </x:c>
      <x:c r="F1" s="4" t="str">
        <x:v>排除批次、429 限流与诊断记录</x:v>
      </x:c>
      <x:c r="G1" s="4" t="str">
        <x:v>排除批次、429 限流与诊断记录</x:v>
      </x:c>
    </x:row>
    <x:row r="2">
      <x:c r="A2" s="7" t="str">
        <x:v>下表所有记录均不进入 9 组正式统计；普通任务失败保留在 9组明细，只有 readiness、基础设施、会话污染和共享 429 才隔离。</x:v>
      </x:c>
      <x:c r="B2" s="7"/>
      <x:c r="C2" s="7"/>
      <x:c r="D2" s="7"/>
      <x:c r="E2" s="7"/>
      <x:c r="F2" s="7"/>
      <x:c r="G2" s="7"/>
    </x:row>
    <x:row r="4" ht="30" customHeight="1">
      <x:c r="A4" s="13" t="str">
        <x:v>记录类型</x:v>
      </x:c>
      <x:c r="B4" s="13" t="str">
        <x:v>批次/来源</x:v>
      </x:c>
      <x:c r="C4" s="13" t="str">
        <x:v>条件 / 重复</x:v>
      </x:c>
      <x:c r="D4" s="13" t="str">
        <x:v>排除类别</x:v>
      </x:c>
      <x:c r="E4" s="13" t="str">
        <x:v>状态 / 原因</x:v>
      </x:c>
      <x:c r="F4" s="13" t="str">
        <x:v>是否进入正式统计</x:v>
      </x:c>
      <x:c r="G4" s="13" t="str">
        <x:v>证据备注</x:v>
      </x:c>
    </x:row>
    <x:row r="5">
      <x:c r="A5" s="18" t="str">
        <x:v>隔离尝试</x:v>
      </x:c>
      <x:c r="B5" s="18" t="str">
        <x:v>source batch excluded-attempts</x:v>
      </x:c>
      <x:c r="C5" s="18" t="str">
        <x:v>PD-VISTA / R3</x:v>
      </x:c>
      <x:c r="D5" s="18" t="str">
        <x:v>429限流</x:v>
      </x:c>
      <x:c r="E5" s="18" t="str">
        <x:v>quarantined_rate_limit；http_429_rate_limit</x:v>
      </x:c>
      <x:c r="F5" s="18" t="str">
        <x:v>否</x:v>
      </x:c>
      <x:c r="G5" s="18" t="str">
        <x:v>保留在 excluded-attempts</x:v>
      </x:c>
    </x:row>
    <x:row r="6">
      <x:c r="A6" s="17" t="str">
        <x:v>隔离尝试</x:v>
      </x:c>
      <x:c r="B6" s="17" t="str">
        <x:v>source batch excluded-attempts</x:v>
      </x:c>
      <x:c r="C6" s="17" t="str">
        <x:v>Native / R1</x:v>
      </x:c>
      <x:c r="D6" s="17" t="str">
        <x:v>429限流</x:v>
      </x:c>
      <x:c r="E6" s="17" t="str">
        <x:v>quarantined_rate_limit；rate_limit_response</x:v>
      </x:c>
      <x:c r="F6" s="17" t="str">
        <x:v>否</x:v>
      </x:c>
      <x:c r="G6" s="17" t="str">
        <x:v>保留在 excluded-attempts</x:v>
      </x:c>
    </x:row>
    <x:row r="7">
      <x:c r="A7" s="18" t="str">
        <x:v>隔离尝试</x:v>
      </x:c>
      <x:c r="B7" s="18" t="str">
        <x:v>source batch excluded-attempts</x:v>
      </x:c>
      <x:c r="C7" s="18" t="str">
        <x:v>No-Skill / R2</x:v>
      </x:c>
      <x:c r="D7" s="18" t="str">
        <x:v>429限流</x:v>
      </x:c>
      <x:c r="E7" s="18" t="str">
        <x:v>quarantined_rate_limit；http_429_rate_limit</x:v>
      </x:c>
      <x:c r="F7" s="18" t="str">
        <x:v>否</x:v>
      </x:c>
      <x:c r="G7" s="18" t="str">
        <x:v>保留在 excluded-attempts</x:v>
      </x:c>
    </x:row>
    <x:row r="8">
      <x:c r="A8" s="17" t="str">
        <x:v>隔离尝试</x:v>
      </x:c>
      <x:c r="B8" s="17" t="str">
        <x:v>source batch excluded-attempts</x:v>
      </x:c>
      <x:c r="C8" s="17" t="str">
        <x:v>No-Skill / R2</x:v>
      </x:c>
      <x:c r="D8" s="17" t="str">
        <x:v>429限流</x:v>
      </x:c>
      <x:c r="E8" s="17" t="str">
        <x:v>quarantined_rate_limit；http_429_rate_limit</x:v>
      </x:c>
      <x:c r="F8" s="17" t="str">
        <x:v>否</x:v>
      </x:c>
      <x:c r="G8" s="17" t="str">
        <x:v>保留在 excluded-attempts</x:v>
      </x:c>
    </x:row>
    <x:row r="9">
      <x:c r="A9" s="18" t="str">
        <x:v>隔离尝试</x:v>
      </x:c>
      <x:c r="B9" s="18" t="str">
        <x:v>source batch excluded-attempts</x:v>
      </x:c>
      <x:c r="C9" s="18" t="str">
        <x:v>No-Skill / R2</x:v>
      </x:c>
      <x:c r="D9" s="18" t="str">
        <x:v>429限流</x:v>
      </x:c>
      <x:c r="E9" s="18" t="str">
        <x:v>quarantined_rate_limit；http_429_rate_limit</x:v>
      </x:c>
      <x:c r="F9" s="18" t="str">
        <x:v>否</x:v>
      </x:c>
      <x:c r="G9" s="18" t="str">
        <x:v>保留在 excluded-attempts</x:v>
      </x:c>
    </x:row>
    <x:row r="10">
      <x:c r="A10" s="17" t="str">
        <x:v>隔离尝试</x:v>
      </x:c>
      <x:c r="B10" s="17" t="str">
        <x:v>source batch excluded-attempts</x:v>
      </x:c>
      <x:c r="C10" s="17" t="str">
        <x:v>No-Skill / R2</x:v>
      </x:c>
      <x:c r="D10" s="17" t="str">
        <x:v>429限流</x:v>
      </x:c>
      <x:c r="E10" s="17" t="str">
        <x:v>quarantined_rate_limit；http_429_rate_limit</x:v>
      </x:c>
      <x:c r="F10" s="17" t="str">
        <x:v>否</x:v>
      </x:c>
      <x:c r="G10" s="17" t="str">
        <x:v>保留在 excluded-attempts</x:v>
      </x:c>
    </x:row>
    <x:row r="11">
      <x:c r="A11" s="18" t="str">
        <x:v>隔离尝试</x:v>
      </x:c>
      <x:c r="B11" s="18" t="str">
        <x:v>formal-task006-docker-local-3x3-minimaxm3-20260827-16</x:v>
      </x:c>
      <x:c r="C11" s="18" t="str">
        <x:v>PD-VISTA / R3</x:v>
      </x:c>
      <x:c r="D11" s="18" t="str">
        <x:v>429限流</x:v>
      </x:c>
      <x:c r="E11" s="18" t="str">
        <x:v>quarantined_rate_limit；http_429_rate_limit</x:v>
      </x:c>
      <x:c r="F11" s="18" t="str">
        <x:v>否</x:v>
      </x:c>
      <x:c r="G11" s="18" t="str">
        <x:v>shared provider HTTP 429 observed in turn 2; continuation stopped immediately; temporary workspace was cleaned after the stop and this attempt is excluded from formal statistics</x:v>
      </x:c>
    </x:row>
    <x:row r="12">
      <x:c r="A12" s="17" t="str">
        <x:v>readiness</x:v>
      </x:c>
      <x:c r="B12" s="17" t="str">
        <x:v>formal-task006-docker-local-3x3-minimaxm3-20260827-17-00-readiness</x:v>
      </x:c>
      <x:c r="C12" s="17" t="str">
        <x:v>全条件</x:v>
      </x:c>
      <x:c r="D12" s="17" t="str">
        <x:v>诊断批次</x:v>
      </x:c>
      <x:c r="E12" s="17" t="str">
        <x:v>ready=true；0 OpenCode 请求</x:v>
      </x:c>
      <x:c r="F12" s="17" t="str">
        <x:v>否</x:v>
      </x:c>
      <x:c r="G12" s="17" t="str">
        <x:v>仅检查资产、镜像、容器与 Verifier collect-only</x:v>
      </x:c>
    </x:row>
    <x:row r="13">
      <x:c r="A13" s="18" t="str">
        <x:v>readiness</x:v>
      </x:c>
      <x:c r="B13" s="18" t="str">
        <x:v>formal-task006-docker-local-3x3-minimaxm3-20260827-15-00-readiness</x:v>
      </x:c>
      <x:c r="C13" s="18" t="str">
        <x:v>全条件</x:v>
      </x:c>
      <x:c r="D13" s="18" t="str">
        <x:v>诊断批次</x:v>
      </x:c>
      <x:c r="E13" s="18" t="str">
        <x:v>readiness-only</x:v>
      </x:c>
      <x:c r="F13" s="18" t="str">
        <x:v>否</x:v>
      </x:c>
      <x:c r="G13" s="18" t="str">
        <x:v>不进入正式统计</x:v>
      </x:c>
    </x:row>
    <x:row r="14">
      <x:c r="A14" s="17" t="str">
        <x:v>readiness</x:v>
      </x:c>
      <x:c r="B14" s="17" t="str">
        <x:v>formal-task006-docker-local-3x3-minimaxm3-20260827-14-00-readiness</x:v>
      </x:c>
      <x:c r="C14" s="17" t="str">
        <x:v>全条件</x:v>
      </x:c>
      <x:c r="D14" s="17" t="str">
        <x:v>诊断批次</x:v>
      </x:c>
      <x:c r="E14" s="17" t="str">
        <x:v>readiness-only</x:v>
      </x:c>
      <x:c r="F14" s="17" t="str">
        <x:v>否</x:v>
      </x:c>
      <x:c r="G14" s="17" t="str">
        <x:v>不进入正式统计</x:v>
      </x:c>
    </x:row>
    <x:row r="15">
      <x:c r="A15" s="18" t="str">
        <x:v>readiness</x:v>
      </x:c>
      <x:c r="B15" s="18" t="str">
        <x:v>formal-task006-docker-local-3x3-minimaxm3-20260827-12-00-readiness</x:v>
      </x:c>
      <x:c r="C15" s="18" t="str">
        <x:v>全条件</x:v>
      </x:c>
      <x:c r="D15" s="18" t="str">
        <x:v>诊断批次</x:v>
      </x:c>
      <x:c r="E15" s="18" t="str">
        <x:v>Docker Engine 当时不可用</x:v>
      </x:c>
      <x:c r="F15" s="18" t="str">
        <x:v>否</x:v>
      </x:c>
      <x:c r="G15" s="18" t="str">
        <x:v>不进入正式统计</x:v>
      </x:c>
    </x:row>
    <x:row r="16">
      <x:c r="A16" s="17" t="str">
        <x:v>污染替换</x:v>
      </x:c>
      <x:c r="B16" s="17" t="str">
        <x:v>formal-task006-docker-local-3x3-minimaxm3-20260827-13</x:v>
      </x:c>
      <x:c r="C16" s="17" t="str">
        <x:v>PD-VISTA / R3</x:v>
      </x:c>
      <x:c r="D16" s="17" t="str">
        <x:v>会话污染</x:v>
      </x:c>
      <x:c r="E16" s="17" t="str">
        <x:v>源 opencode.db 有 2 行 session；事件日志只用 1 行</x:v>
      </x:c>
      <x:c r="F16" s="17" t="str">
        <x:v>否</x:v>
      </x:c>
      <x:c r="G16" s="17" t="str">
        <x:v>被本批次 PD-VISTA R3 新鲜重跑替换</x:v>
      </x:c>
    </x:row>
    <x:row r="17">
      <x:c r="A17" s="18" t="str">
        <x:v>中断</x:v>
      </x:c>
      <x:c r="B17" s="18" t="str">
        <x:v>formal-task006-docker-local-3x3-minimaxm3-20260827-11</x:v>
      </x:c>
      <x:c r="C17" s="18" t="str">
        <x:v>No-Skill / R2</x:v>
      </x:c>
      <x:c r="D17" s="18" t="str">
        <x:v>基础设施</x:v>
      </x:c>
      <x:c r="E17" s="18" t="str">
        <x:v>磁盘耗尽导致 Verifier 证据写入中断</x:v>
      </x:c>
      <x:c r="F17" s="18" t="str">
        <x:v>否</x:v>
      </x:c>
      <x:c r="G17" s="18" t="str">
        <x:v>未计入正式统计</x:v>
      </x:c>
    </x:row>
    <x:row r="20">
      <x:c r="A20" s="64" t="str">
        <x:v>正式统计排除规则：所有 quarantined_rate_limit / readiness / infra / contaminated-session 记录都留痕但不作为任务失败；9组明细只保留 9 个正式 result.json。</x:v>
      </x:c>
      <x:c r="B20" s="64"/>
      <x:c r="C20" s="64"/>
      <x:c r="D20" s="64"/>
      <x:c r="E20" s="64"/>
      <x:c r="F20" s="64"/>
      <x:c r="G20" s="64"/>
    </x:row>
  </x:sheetData>
  <x:mergeCells>
    <x:mergeCell ref="A1:G1"/>
    <x:mergeCell ref="A2:G2"/>
    <x:mergeCell ref="A20:G20"/>
  </x:mergeCells>
  <x:conditionalFormatting sqref="D5:D30">
    <x:cfRule type="containsText" dxfId="3" priority="1" operator="containsText" text="429限流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36" hidden="0" customWidth="1"/>
    <x:col min="4" max="4" width="44" hidden="0" customWidth="1"/>
    <x:col min="5" max="5" width="55" hidden="0" customWidth="1"/>
  </x:cols>
  <x:sheetData>
    <x:row r="1" ht="28" customHeight="1">
      <x:c r="A1" s="4" t="str">
        <x:v>最终审计 JSON → 中文工作簿字段映射</x:v>
      </x:c>
      <x:c r="B1" s="4" t="str">
        <x:v>最终审计 JSON → 中文工作簿字段映射</x:v>
      </x:c>
      <x:c r="C1" s="4" t="str">
        <x:v>最终审计 JSON → 中文工作簿字段映射</x:v>
      </x:c>
      <x:c r="D1" s="4" t="str">
        <x:v>最终审计 JSON → 中文工作簿字段映射</x:v>
      </x:c>
      <x:c r="E1" s="4" t="str">
        <x:v>最终审计 JSON → 中文工作簿字段映射</x:v>
      </x:c>
    </x:row>
    <x:row r="3" ht="30" customHeight="1">
      <x:c r="A3" s="13" t="str">
        <x:v>JSON 区域</x:v>
      </x:c>
      <x:c r="B3" s="13" t="str">
        <x:v>JSON 路径</x:v>
      </x:c>
      <x:c r="C3" s="13" t="str">
        <x:v>工作簿位置</x:v>
      </x:c>
      <x:c r="D3" s="13" t="str">
        <x:v>含义</x:v>
      </x:c>
      <x:c r="E3" s="13" t="str">
        <x:v>来源/备注</x:v>
      </x:c>
    </x:row>
    <x:row r="4">
      <x:c r="A4" s="18" t="str">
        <x:v>运行</x:v>
      </x:c>
      <x:c r="B4" s="18" t="str">
        <x:v>run_id</x:v>
      </x:c>
      <x:c r="C4" s="18" t="str">
        <x:v>实验总览!B3</x:v>
      </x:c>
      <x:c r="D4" s="18" t="str">
        <x:v>正式实验唯一标识</x:v>
      </x:c>
      <x:c r="E4" s="18" t="str">
        <x:v>group-summary.json / posthoc-audit.json</x:v>
      </x:c>
    </x:row>
    <x:row r="5">
      <x:c r="A5" s="17" t="str">
        <x:v>运行</x:v>
      </x:c>
      <x:c r="B5" s="17" t="str">
        <x:v>formal_trial_count</x:v>
      </x:c>
      <x:c r="C5" s="17" t="str">
        <x:v>实验总览!B5</x:v>
      </x:c>
      <x:c r="D5" s="17" t="str">
        <x:v>正式组数</x:v>
      </x:c>
      <x:c r="E5" s="17" t="str">
        <x:v>posthoc-audit.json</x:v>
      </x:c>
    </x:row>
    <x:row r="6">
      <x:c r="A6" s="18" t="str">
        <x:v>运行</x:v>
      </x:c>
      <x:c r="B6" s="18" t="str">
        <x:v>unique_formal_sessions</x:v>
      </x:c>
      <x:c r="C6" s="18" t="str">
        <x:v>实验总览!B7</x:v>
      </x:c>
      <x:c r="D6" s="18" t="str">
        <x:v>唯一 OpenCode session 数</x:v>
      </x:c>
      <x:c r="E6" s="18" t="str">
        <x:v>9 个隔离 SQLite DB 审计</x:v>
      </x:c>
    </x:row>
    <x:row r="7">
      <x:c r="A7" s="17" t="str">
        <x:v>模型</x:v>
      </x:c>
      <x:c r="B7" s="17" t="str">
        <x:v>requested_provider_model / actual_provider_ids + actual_model_ids</x:v>
      </x:c>
      <x:c r="C7" s="17" t="str">
        <x:v>实验总览!B8；9组明细!F5:F13</x:v>
      </x:c>
      <x:c r="D7" s="17" t="str">
        <x:v>请求与实际 Provider/Model</x:v>
      </x:c>
      <x:c r="E7" s="17" t="str">
        <x:v>result.json + opencode.db</x:v>
      </x:c>
    </x:row>
    <x:row r="8">
      <x:c r="A8" s="18" t="str">
        <x:v>试验</x:v>
      </x:c>
      <x:c r="B8" s="18" t="str">
        <x:v>formal_results[*]</x:v>
      </x:c>
      <x:c r="C8" s="18" t="str">
        <x:v>9组明细!A5:AA13</x:v>
      </x:c>
      <x:c r="D8" s="18" t="str">
        <x:v>条件 × 重复的正式组记录</x:v>
      </x:c>
      <x:c r="E8" s="18" t="str">
        <x:v>group-summary + result.json</x:v>
      </x:c>
    </x:row>
    <x:row r="9">
      <x:c r="A9" s="17" t="str">
        <x:v>Verifier</x:v>
      </x:c>
      <x:c r="B9" s="17" t="str">
        <x:v>final_verifier_pass</x:v>
      </x:c>
      <x:c r="C9" s="17" t="str">
        <x:v>9组明细!E5:E13 / X5:X13</x:v>
      </x:c>
      <x:c r="D9" s="17" t="str">
        <x:v>最终任务成功指标</x:v>
      </x:c>
      <x:c r="E9" s="17" t="str">
        <x:v>result.json</x:v>
      </x:c>
    </x:row>
    <x:row r="10">
      <x:c r="A10" s="18" t="str">
        <x:v>Token</x:v>
      </x:c>
      <x:c r="B10" s="18" t="str">
        <x:v>usage.requests / tool_uses</x:v>
      </x:c>
      <x:c r="C10" s="18" t="str">
        <x:v>9组明细!I5:J13</x:v>
      </x:c>
      <x:c r="D10" s="18" t="str">
        <x:v>请求数、工具调用</x:v>
      </x:c>
      <x:c r="E10" s="18" t="str">
        <x:v>turn JSONL event_summary</x:v>
      </x:c>
    </x:row>
    <x:row r="11">
      <x:c r="A11" s="17" t="str">
        <x:v>Token</x:v>
      </x:c>
      <x:c r="B11" s="17" t="str">
        <x:v>db_tokens.tokens_input</x:v>
      </x:c>
      <x:c r="C11" s="17" t="str">
        <x:v>9组明细!K5:K13；Token与成本!D13:D21</x:v>
      </x:c>
      <x:c r="D11" s="17" t="str">
        <x:v>输入 Token</x:v>
      </x:c>
      <x:c r="E11" s="17" t="str">
        <x:v>SQLite session tokens_input</x:v>
      </x:c>
    </x:row>
    <x:row r="12">
      <x:c r="A12" s="18" t="str">
        <x:v>Token</x:v>
      </x:c>
      <x:c r="B12" s="18" t="str">
        <x:v>db_tokens.tokens_output</x:v>
      </x:c>
      <x:c r="C12" s="18" t="str">
        <x:v>9组明细!L5:L13；Token与成本!E13:E21</x:v>
      </x:c>
      <x:c r="D12" s="18" t="str">
        <x:v>输出 Token</x:v>
      </x:c>
      <x:c r="E12" s="18" t="str">
        <x:v>SQLite session tokens_output</x:v>
      </x:c>
    </x:row>
    <x:row r="13">
      <x:c r="A13" s="17" t="str">
        <x:v>Token</x:v>
      </x:c>
      <x:c r="B13" s="17" t="str">
        <x:v>db_tokens.tokens_cache_read</x:v>
      </x:c>
      <x:c r="C13" s="17" t="str">
        <x:v>9组明细!M5:M13；Token与成本!F13:F21</x:v>
      </x:c>
      <x:c r="D13" s="17" t="str">
        <x:v>Cache-read Token</x:v>
      </x:c>
      <x:c r="E13" s="17" t="str">
        <x:v>SQLite session tokens_cache_read</x:v>
      </x:c>
    </x:row>
    <x:row r="14">
      <x:c r="A14" s="18" t="str">
        <x:v>费用</x:v>
      </x:c>
      <x:c r="B14" s="18" t="str">
        <x:v>db_recorded_cost_usd</x:v>
      </x:c>
      <x:c r="C14" s="18" t="str">
        <x:v>9组明细!N5:N13；Token与成本!G13:G21</x:v>
      </x:c>
      <x:c r="D14" s="18" t="str">
        <x:v>OpenCode 记录费用</x:v>
      </x:c>
      <x:c r="E14" s="18" t="str">
        <x:v>SQLite session cost</x:v>
      </x:c>
    </x:row>
    <x:row r="15">
      <x:c r="A15" s="17" t="str">
        <x:v>超时</x:v>
      </x:c>
      <x:c r="B15" s="17" t="str">
        <x:v>turns[*].model_turn_timeout</x:v>
      </x:c>
      <x:c r="C15" s="17" t="str">
        <x:v>9组明细!O5:O13</x:v>
      </x:c>
      <x:c r="D15" s="17" t="str">
        <x:v>模型轮次超时次数</x:v>
      </x:c>
      <x:c r="E15" s="17" t="str">
        <x:v>result.json</x:v>
      </x:c>
    </x:row>
    <x:row r="16">
      <x:c r="A16" s="18" t="str">
        <x:v>披露</x:v>
      </x:c>
      <x:c r="B16" s="18" t="str">
        <x:v>vista_metrics.trigger_opportunities</x:v>
      </x:c>
      <x:c r="C16" s="18" t="str">
        <x:v>9组明细!P5:P13；PD-VISTA!C5:C7</x:v>
      </x:c>
      <x:c r="D16" s="18" t="str">
        <x:v>公开失败触发机会</x:v>
      </x:c>
      <x:c r="E16" s="18" t="str">
        <x:v>result.json</x:v>
      </x:c>
    </x:row>
    <x:row r="17">
      <x:c r="A17" s="17" t="str">
        <x:v>披露</x:v>
      </x:c>
      <x:c r="B17" s="17" t="str">
        <x:v>disclosed_modules</x:v>
      </x:c>
      <x:c r="C17" s="17" t="str">
        <x:v>9组明细!R5:R13；PD-VISTA!F5:F7</x:v>
      </x:c>
      <x:c r="D17" s="17" t="str">
        <x:v>实际披露模块</x:v>
      </x:c>
      <x:c r="E17" s="17" t="str">
        <x:v>result.json</x:v>
      </x:c>
    </x:row>
    <x:row r="18">
      <x:c r="A18" s="18" t="str">
        <x:v>披露</x:v>
      </x:c>
      <x:c r="B18" s="18" t="str">
        <x:v>vista_metrics.next_round_module_access</x:v>
      </x:c>
      <x:c r="C18" s="18" t="str">
        <x:v>9组明细!S5:S13；PD-VISTA!G5:G7</x:v>
      </x:c>
      <x:c r="D18" s="18" t="str">
        <x:v>下一轮实际访问次数</x:v>
      </x:c>
      <x:c r="E18" s="18" t="str">
        <x:v>result.json / event_summary</x:v>
      </x:c>
    </x:row>
    <x:row r="19">
      <x:c r="A19" s="17" t="str">
        <x:v>披露</x:v>
      </x:c>
      <x:c r="B19" s="17" t="str">
        <x:v>vista_metrics.clean_complete_closure</x:v>
      </x:c>
      <x:c r="C19" s="17" t="str">
        <x:v>9组明细!T5:T13；PD-VISTA!H5:H7</x:v>
      </x:c>
      <x:c r="D19" s="17" t="str">
        <x:v>干净反馈闭环</x:v>
      </x:c>
      <x:c r="E19" s="17" t="str">
        <x:v>result.json</x:v>
      </x:c>
    </x:row>
    <x:row r="20">
      <x:c r="A20" s="18" t="str">
        <x:v>完整性</x:v>
      </x:c>
      <x:c r="B20" s="18" t="str">
        <x:v>docker_used</x:v>
      </x:c>
      <x:c r="C20" s="18" t="str">
        <x:v>实验总览!B9</x:v>
      </x:c>
      <x:c r="D20" s="18" t="str">
        <x:v>Docker 是否实际使用</x:v>
      </x:c>
      <x:c r="E20" s="18" t="str">
        <x:v>posthoc-audit.json</x:v>
      </x:c>
    </x:row>
    <x:row r="21">
      <x:c r="A21" s="17" t="str">
        <x:v>完整性</x:v>
      </x:c>
      <x:c r="B21" s="17" t="str">
        <x:v>skillbench_execution_route_used</x:v>
      </x:c>
      <x:c r="C21" s="17" t="str">
        <x:v>实验总览!B10</x:v>
      </x:c>
      <x:c r="D21" s="17" t="str">
        <x:v>是否使用 SkillBench 标准路线</x:v>
      </x:c>
      <x:c r="E21" s="17" t="str">
        <x:v>posthoc-audit.json</x:v>
      </x:c>
    </x:row>
    <x:row r="22">
      <x:c r="A22" s="18" t="str">
        <x:v>提示词</x:v>
      </x:c>
      <x:c r="B22" s="18" t="str">
        <x:v>COMMON_PROMPT / INITIAL_PROMPTS</x:v>
      </x:c>
      <x:c r="C22" s="18" t="str">
        <x:v>三种条件及失败反馈!A5:D7</x:v>
      </x:c>
      <x:c r="D22" s="18" t="str">
        <x:v>三条件首轮原始提示词</x:v>
      </x:c>
      <x:c r="E22" s="18" t="str">
        <x:v>run_task006_docker_group.py</x:v>
      </x:c>
    </x:row>
    <x:row r="23">
      <x:c r="A23" s="17" t="str">
        <x:v>反馈</x:v>
      </x:c>
      <x:c r="B23" s="17" t="str">
        <x:v>turns[*].public_diagnostic</x:v>
      </x:c>
      <x:c r="C23" s="17" t="str">
        <x:v>三种条件及失败反馈!A11:D13</x:v>
      </x:c>
      <x:c r="D23" s="17" t="str">
        <x:v>公开失败诊断（已清洗）</x:v>
      </x:c>
      <x:c r="E23" s="17" t="str">
        <x:v>result.json</x:v>
      </x:c>
    </x:row>
    <x:row r="24">
      <x:c r="A24" s="18" t="str">
        <x:v>排除</x:v>
      </x:c>
      <x:c r="B24" s="18" t="str">
        <x:v>excluded_attempts[*]</x:v>
      </x:c>
      <x:c r="C24" s="18" t="str">
        <x:v>排除与诊断!A5:G...</x:v>
      </x:c>
      <x:c r="D24" s="18" t="str">
        <x:v>429/基础设施/污染隔离留痕</x:v>
      </x:c>
      <x:c r="E24" s="18" t="str">
        <x:v>posthoc-audit.json</x:v>
      </x:c>
    </x:row>
    <x:row r="25">
      <x:c r="A25" s="17" t="str">
        <x:v>审计</x:v>
      </x:c>
      <x:c r="B25" s="17" t="str">
        <x:v>opencode_db_audit[*]</x:v>
      </x:c>
      <x:c r="C25" s="17" t="str">
        <x:v>Token与成本!I13:I21</x:v>
      </x:c>
      <x:c r="D25" s="17" t="str">
        <x:v>SQLite 只读审计来源</x:v>
      </x:c>
      <x:c r="E25" s="17" t="str">
        <x:v>posthoc-audit.json</x:v>
      </x:c>
    </x:row>
  </x:sheetData>
  <x:mergeCells>
    <x:mergeCell ref="A1:E1"/>
  </x:mergeCells>
  <x:pageMargins left="0.7" right="0.7" top="0.75" bottom="0.75" header="0.3" footer="0.3"/>
</x:worksheet>
</file>