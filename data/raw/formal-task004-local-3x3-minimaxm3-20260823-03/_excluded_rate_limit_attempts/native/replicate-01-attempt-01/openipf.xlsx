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s="3" t="n">
        <v>82.25</v>
      </c>
      <c r="D2" s="3" t="n">
        <v>215</v>
      </c>
      <c r="E2" s="3" t="n">
        <v>132.5</v>
      </c>
      <c r="F2" s="3" t="n">
        <v>260</v>
      </c>
      <c r="G2" s="3">
        <f>ROUND(D2+E2+F2,3)</f>
        <v/>
      </c>
      <c r="H2" s="3">
        <f>ROUND(G2*IF(OR(B2="M",B2="Mx"),500/(MAX(40,MIN(210,C2))^4*-0.0000010930+MAX(40,MIN(210,C2))^3*0.0007391293+MAX(40,MIN(210,C2))^2*-0.1918759221+MAX(40,MIN(210,C2))*24.0900756-307.75076),500/(MAX(40,MIN(150,C2))^4*-0.0000010706+MAX(40,MIN(150,C2))^3*0.0005158568+MAX(40,MIN(150,C2))^2*-0.1126655495+MAX(40,MIN(150,C2))*13.6175032-57.96288)),3)</f>
        <v/>
      </c>
    </row>
    <row r="3">
      <c r="A3" t="inlineStr">
        <is>
          <t>Matthew Starkey</t>
        </is>
      </c>
      <c r="B3" t="inlineStr">
        <is>
          <t>M</t>
        </is>
      </c>
      <c r="C3" s="3" t="n">
        <v>82.90000000000001</v>
      </c>
      <c r="D3" s="3" t="n">
        <v>205</v>
      </c>
      <c r="E3" s="3" t="n">
        <v>130</v>
      </c>
      <c r="F3" s="3" t="n">
        <v>227.5</v>
      </c>
      <c r="G3" s="3">
        <f>ROUND(D3+E3+F3,3)</f>
        <v/>
      </c>
      <c r="H3" s="3">
        <f>ROUND(G3*IF(OR(B3="M",B3="Mx"),500/(MAX(40,MIN(210,C3))^4*-0.0000010930+MAX(40,MIN(210,C3))^3*0.0007391293+MAX(40,MIN(210,C3))^2*-0.1918759221+MAX(40,MIN(210,C3))*24.0900756-307.75076),500/(MAX(40,MIN(150,C3))^4*-0.0000010706+MAX(40,MIN(150,C3))^3*0.0005158568+MAX(40,MIN(150,C3))^2*-0.1126655495+MAX(40,MIN(150,C3))*13.6175032-57.96288)),3)</f>
        <v/>
      </c>
    </row>
    <row r="4">
      <c r="A4" t="inlineStr">
        <is>
          <t>Austin Keanu</t>
        </is>
      </c>
      <c r="B4" t="inlineStr">
        <is>
          <t>M</t>
        </is>
      </c>
      <c r="C4" s="3" t="n">
        <v>122.4</v>
      </c>
      <c r="D4" s="3" t="n">
        <v>275</v>
      </c>
      <c r="E4" s="3" t="n">
        <v>142.5</v>
      </c>
      <c r="F4" s="3" t="n">
        <v>235</v>
      </c>
      <c r="G4" s="3">
        <f>ROUND(D4+E4+F4,3)</f>
        <v/>
      </c>
      <c r="H4" s="3">
        <f>ROUND(G4*IF(OR(B4="M",B4="Mx"),500/(MAX(40,MIN(210,C4))^4*-0.0000010930+MAX(40,MIN(210,C4))^3*0.0007391293+MAX(40,MIN(210,C4))^2*-0.1918759221+MAX(40,MIN(210,C4))*24.0900756-307.75076),500/(MAX(40,MIN(150,C4))^4*-0.0000010706+MAX(40,MIN(150,C4))^3*0.0005158568+MAX(40,MIN(150,C4))^2*-0.1126655495+MAX(40,MIN(150,C4))*13.6175032-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s="3" t="n">
        <v>96.8</v>
      </c>
      <c r="D5" s="3" t="n">
        <v>102.5</v>
      </c>
      <c r="E5" s="3" t="n">
        <v>50</v>
      </c>
      <c r="F5" s="3" t="n">
        <v>137.5</v>
      </c>
      <c r="G5" s="3">
        <f>ROUND(D5+E5+F5,3)</f>
        <v/>
      </c>
      <c r="H5" s="3">
        <f>ROUND(G5*IF(OR(B5="M",B5="Mx"),500/(MAX(40,MIN(210,C5))^4*-0.0000010930+MAX(40,MIN(210,C5))^3*0.0007391293+MAX(40,MIN(210,C5))^2*-0.1918759221+MAX(40,MIN(210,C5))*24.0900756-307.75076),500/(MAX(40,MIN(150,C5))^4*-0.0000010706+MAX(40,MIN(150,C5))^3*0.0005158568+MAX(40,MIN(150,C5))^2*-0.1126655495+MAX(40,MIN(150,C5))*13.6175032-57.96288)),3)</f>
        <v/>
      </c>
    </row>
    <row r="6">
      <c r="A6" t="inlineStr">
        <is>
          <t>Tracy Klinger</t>
        </is>
      </c>
      <c r="B6" t="inlineStr">
        <is>
          <t>F</t>
        </is>
      </c>
      <c r="C6" s="3" t="n">
        <v>130.82</v>
      </c>
      <c r="D6" s="3" t="n">
        <v>62.5</v>
      </c>
      <c r="E6" s="3" t="n">
        <v>57.5</v>
      </c>
      <c r="F6" s="3" t="n">
        <v>117.5</v>
      </c>
      <c r="G6" s="3">
        <f>ROUND(D6+E6+F6,3)</f>
        <v/>
      </c>
      <c r="H6" s="3">
        <f>ROUND(G6*IF(OR(B6="M",B6="Mx"),500/(MAX(40,MIN(210,C6))^4*-0.0000010930+MAX(40,MIN(210,C6))^3*0.0007391293+MAX(40,MIN(210,C6))^2*-0.1918759221+MAX(40,MIN(210,C6))*24.0900756-307.75076),500/(MAX(40,MIN(150,C6))^4*-0.0000010706+MAX(40,MIN(150,C6))^3*0.0005158568+MAX(40,MIN(150,C6))^2*-0.1126655495+MAX(40,MIN(150,C6))*13.6175032-57.96288)),3)</f>
        <v/>
      </c>
    </row>
    <row r="7">
      <c r="A7" t="inlineStr">
        <is>
          <t>Mohanad Ibrahiem</t>
        </is>
      </c>
      <c r="B7" t="inlineStr">
        <is>
          <t>M</t>
        </is>
      </c>
      <c r="C7" s="3" t="n">
        <v>103.94</v>
      </c>
      <c r="D7" s="3" t="n">
        <v>255</v>
      </c>
      <c r="E7" s="3" t="n">
        <v>165</v>
      </c>
      <c r="F7" s="3" t="n">
        <v>292.5</v>
      </c>
      <c r="G7" s="3">
        <f>ROUND(D7+E7+F7,3)</f>
        <v/>
      </c>
      <c r="H7" s="3">
        <f>ROUND(G7*IF(OR(B7="M",B7="Mx"),500/(MAX(40,MIN(210,C7))^4*-0.0000010930+MAX(40,MIN(210,C7))^3*0.0007391293+MAX(40,MIN(210,C7))^2*-0.1918759221+MAX(40,MIN(210,C7))*24.0900756-307.75076),500/(MAX(40,MIN(150,C7))^4*-0.0000010706+MAX(40,MIN(150,C7))^3*0.0005158568+MAX(40,MIN(150,C7))^2*-0.1126655495+MAX(40,MIN(150,C7))*13.6175032-57.96288)),3)</f>
        <v/>
      </c>
    </row>
    <row r="8">
      <c r="A8" t="inlineStr">
        <is>
          <t>Pamela Cresci</t>
        </is>
      </c>
      <c r="B8" t="inlineStr">
        <is>
          <t>F</t>
        </is>
      </c>
      <c r="C8" s="3" t="n">
        <v>58.2</v>
      </c>
      <c r="D8" s="3" t="n">
        <v>82.5</v>
      </c>
      <c r="E8" s="3" t="n">
        <v>47.5</v>
      </c>
      <c r="F8" s="3" t="n">
        <v>130</v>
      </c>
      <c r="G8" s="3">
        <f>ROUND(D8+E8+F8,3)</f>
        <v/>
      </c>
      <c r="H8" s="3">
        <f>ROUND(G8*IF(OR(B8="M",B8="Mx"),500/(MAX(40,MIN(210,C8))^4*-0.0000010930+MAX(40,MIN(210,C8))^3*0.0007391293+MAX(40,MIN(210,C8))^2*-0.1918759221+MAX(40,MIN(210,C8))*24.0900756-307.75076),500/(MAX(40,MIN(150,C8))^4*-0.0000010706+MAX(40,MIN(150,C8))^3*0.0005158568+MAX(40,MIN(150,C8))^2*-0.1126655495+MAX(40,MIN(150,C8))*13.6175032-57.96288)),3)</f>
        <v/>
      </c>
    </row>
    <row r="9">
      <c r="A9" t="inlineStr">
        <is>
          <t>Wilie Carpentier</t>
        </is>
      </c>
      <c r="B9" t="inlineStr">
        <is>
          <t>M</t>
        </is>
      </c>
      <c r="C9" s="3" t="n">
        <v>81.8</v>
      </c>
      <c r="D9" s="3" t="n">
        <v>200</v>
      </c>
      <c r="E9" s="3" t="n">
        <v>130</v>
      </c>
      <c r="F9" s="3" t="n">
        <v>237.5</v>
      </c>
      <c r="G9" s="3">
        <f>ROUND(D9+E9+F9,3)</f>
        <v/>
      </c>
      <c r="H9" s="3">
        <f>ROUND(G9*IF(OR(B9="M",B9="Mx"),500/(MAX(40,MIN(210,C9))^4*-0.0000010930+MAX(40,MIN(210,C9))^3*0.0007391293+MAX(40,MIN(210,C9))^2*-0.1918759221+MAX(40,MIN(210,C9))*24.0900756-307.75076),500/(MAX(40,MIN(150,C9))^4*-0.0000010706+MAX(40,MIN(150,C9))^3*0.0005158568+MAX(40,MIN(150,C9))^2*-0.1126655495+MAX(40,MIN(150,C9))*13.6175032-57.96288)),3)</f>
        <v/>
      </c>
    </row>
    <row r="10">
      <c r="A10" t="inlineStr">
        <is>
          <t>Joshua Noble</t>
        </is>
      </c>
      <c r="B10" t="inlineStr">
        <is>
          <t>M</t>
        </is>
      </c>
      <c r="C10" s="3" t="n">
        <v>90.5</v>
      </c>
      <c r="D10" s="3" t="n">
        <v>242.5</v>
      </c>
      <c r="E10" s="3" t="n">
        <v>132.5</v>
      </c>
      <c r="F10" s="3" t="n">
        <v>232.5</v>
      </c>
      <c r="G10" s="3">
        <f>ROUND(D10+E10+F10,3)</f>
        <v/>
      </c>
      <c r="H10" s="3">
        <f>ROUND(G10*IF(OR(B10="M",B10="Mx"),500/(MAX(40,MIN(210,C10))^4*-0.0000010930+MAX(40,MIN(210,C10))^3*0.0007391293+MAX(40,MIN(210,C10))^2*-0.1918759221+MAX(40,MIN(210,C10))*24.0900756-307.75076),500/(MAX(40,MIN(150,C10))^4*-0.0000010706+MAX(40,MIN(150,C10))^3*0.0005158568+MAX(40,MIN(150,C10))^2*-0.1126655495+MAX(40,MIN(150,C10))*13.6175032-57.96288)),3)</f>
        <v/>
      </c>
    </row>
    <row r="11">
      <c r="A11" t="inlineStr">
        <is>
          <t>Amber Gomez</t>
        </is>
      </c>
      <c r="B11" t="inlineStr">
        <is>
          <t>F</t>
        </is>
      </c>
      <c r="C11" s="3" t="n">
        <v>75.90000000000001</v>
      </c>
      <c r="D11" s="3" t="n">
        <v>137.5</v>
      </c>
      <c r="E11" s="3" t="n">
        <v>75</v>
      </c>
      <c r="F11" s="3" t="n">
        <v>167.5</v>
      </c>
      <c r="G11" s="3">
        <f>ROUND(D11+E11+F11,3)</f>
        <v/>
      </c>
      <c r="H11" s="3">
        <f>ROUND(G11*IF(OR(B11="M",B11="Mx"),500/(MAX(40,MIN(210,C11))^4*-0.0000010930+MAX(40,MIN(210,C11))^3*0.0007391293+MAX(40,MIN(210,C11))^2*-0.1918759221+MAX(40,MIN(210,C11))*24.0900756-307.75076),500/(MAX(40,MIN(150,C11))^4*-0.0000010706+MAX(40,MIN(150,C11))^3*0.0005158568+MAX(40,MIN(150,C11))^2*-0.1126655495+MAX(40,MIN(150,C11))*13.6175032-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s="3" t="n">
        <v>79.3</v>
      </c>
      <c r="D12" s="3" t="n">
        <v>107.5</v>
      </c>
      <c r="E12" s="3" t="n">
        <v>50</v>
      </c>
      <c r="F12" s="3" t="n">
        <v>140</v>
      </c>
      <c r="G12" s="3">
        <f>ROUND(D12+E12+F12,3)</f>
        <v/>
      </c>
      <c r="H12" s="3">
        <f>ROUND(G12*IF(OR(B12="M",B12="Mx"),500/(MAX(40,MIN(210,C12))^4*-0.0000010930+MAX(40,MIN(210,C12))^3*0.0007391293+MAX(40,MIN(210,C12))^2*-0.1918759221+MAX(40,MIN(210,C12))*24.0900756-307.75076),500/(MAX(40,MIN(150,C12))^4*-0.0000010706+MAX(40,MIN(150,C12))^3*0.0005158568+MAX(40,MIN(150,C12))^2*-0.1126655495+MAX(40,MIN(150,C12))*13.6175032-57.96288)),3)</f>
        <v/>
      </c>
    </row>
    <row r="13">
      <c r="A13" t="inlineStr">
        <is>
          <t>Alma Kimura</t>
        </is>
      </c>
      <c r="B13" t="inlineStr">
        <is>
          <t>F</t>
        </is>
      </c>
      <c r="C13" s="3" t="n">
        <v>61.81</v>
      </c>
      <c r="D13" s="3" t="n">
        <v>107.5</v>
      </c>
      <c r="E13" s="3" t="n">
        <v>52.5</v>
      </c>
      <c r="F13" s="3" t="n">
        <v>130</v>
      </c>
      <c r="G13" s="3">
        <f>ROUND(D13+E13+F13,3)</f>
        <v/>
      </c>
      <c r="H13" s="3">
        <f>ROUND(G13*IF(OR(B13="M",B13="Mx"),500/(MAX(40,MIN(210,C13))^4*-0.0000010930+MAX(40,MIN(210,C13))^3*0.0007391293+MAX(40,MIN(210,C13))^2*-0.1918759221+MAX(40,MIN(210,C13))*24.0900756-307.75076),500/(MAX(40,MIN(150,C13))^4*-0.0000010706+MAX(40,MIN(150,C13))^3*0.0005158568+MAX(40,MIN(150,C13))^2*-0.1126655495+MAX(40,MIN(150,C13))*13.6175032-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s="3" t="n">
        <v>72.5</v>
      </c>
      <c r="D14" s="3" t="n">
        <v>245</v>
      </c>
      <c r="E14" s="3" t="n">
        <v>152.5</v>
      </c>
      <c r="F14" s="3" t="n">
        <v>290</v>
      </c>
      <c r="G14" s="3">
        <f>ROUND(D14+E14+F14,3)</f>
        <v/>
      </c>
      <c r="H14" s="3">
        <f>ROUND(G14*IF(OR(B14="M",B14="Mx"),500/(MAX(40,MIN(210,C14))^4*-0.0000010930+MAX(40,MIN(210,C14))^3*0.0007391293+MAX(40,MIN(210,C14))^2*-0.1918759221+MAX(40,MIN(210,C14))*24.0900756-307.75076),500/(MAX(40,MIN(150,C14))^4*-0.0000010706+MAX(40,MIN(150,C14))^3*0.0005158568+MAX(40,MIN(150,C14))^2*-0.1126655495+MAX(40,MIN(150,C14))*13.6175032-57.96288)),3)</f>
        <v/>
      </c>
    </row>
    <row r="15">
      <c r="A15" t="inlineStr">
        <is>
          <t>Serena Abweh</t>
        </is>
      </c>
      <c r="B15" t="inlineStr">
        <is>
          <t>F</t>
        </is>
      </c>
      <c r="C15" s="3" t="n">
        <v>46.1</v>
      </c>
      <c r="D15" s="3" t="n">
        <v>82.5</v>
      </c>
      <c r="E15" s="3" t="n">
        <v>52.5</v>
      </c>
      <c r="F15" s="3" t="n">
        <v>125.5</v>
      </c>
      <c r="G15" s="3">
        <f>ROUND(D15+E15+F15,3)</f>
        <v/>
      </c>
      <c r="H15" s="3">
        <f>ROUND(G15*IF(OR(B15="M",B15="Mx"),500/(MAX(40,MIN(210,C15))^4*-0.0000010930+MAX(40,MIN(210,C15))^3*0.0007391293+MAX(40,MIN(210,C15))^2*-0.1918759221+MAX(40,MIN(210,C15))*24.0900756-307.75076),500/(MAX(40,MIN(150,C15))^4*-0.0000010706+MAX(40,MIN(150,C15))^3*0.0005158568+MAX(40,MIN(150,C15))^2*-0.1126655495+MAX(40,MIN(150,C15))*13.6175032-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s="3" t="n">
        <v>74.2</v>
      </c>
      <c r="D16" s="3" t="n">
        <v>170</v>
      </c>
      <c r="E16" s="3" t="n">
        <v>85</v>
      </c>
      <c r="F16" s="3" t="n">
        <v>197.5</v>
      </c>
      <c r="G16" s="3">
        <f>ROUND(D16+E16+F16,3)</f>
        <v/>
      </c>
      <c r="H16" s="3">
        <f>ROUND(G16*IF(OR(B16="M",B16="Mx"),500/(MAX(40,MIN(210,C16))^4*-0.0000010930+MAX(40,MIN(210,C16))^3*0.0007391293+MAX(40,MIN(210,C16))^2*-0.1918759221+MAX(40,MIN(210,C16))*24.0900756-307.75076),500/(MAX(40,MIN(150,C16))^4*-0.0000010706+MAX(40,MIN(150,C16))^3*0.0005158568+MAX(40,MIN(150,C16))^2*-0.1126655495+MAX(40,MIN(150,C16))*13.6175032-57.96288)),3)</f>
        <v/>
      </c>
    </row>
    <row r="17">
      <c r="A17" t="inlineStr">
        <is>
          <t>Aaron Ziffle</t>
        </is>
      </c>
      <c r="B17" t="inlineStr">
        <is>
          <t>M</t>
        </is>
      </c>
      <c r="C17" s="3" t="n">
        <v>92.8</v>
      </c>
      <c r="D17" s="3" t="n">
        <v>255</v>
      </c>
      <c r="E17" s="3" t="n">
        <v>182.5</v>
      </c>
      <c r="F17" s="3" t="n">
        <v>245</v>
      </c>
      <c r="G17" s="3">
        <f>ROUND(D17+E17+F17,3)</f>
        <v/>
      </c>
      <c r="H17" s="3">
        <f>ROUND(G17*IF(OR(B17="M",B17="Mx"),500/(MAX(40,MIN(210,C17))^4*-0.0000010930+MAX(40,MIN(210,C17))^3*0.0007391293+MAX(40,MIN(210,C17))^2*-0.1918759221+MAX(40,MIN(210,C17))*24.0900756-307.75076),500/(MAX(40,MIN(150,C17))^4*-0.0000010706+MAX(40,MIN(150,C17))^3*0.0005158568+MAX(40,MIN(150,C17))^2*-0.1126655495+MAX(40,MIN(150,C17))*13.6175032-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s="3" t="n">
        <v>61.8</v>
      </c>
      <c r="D18" s="3" t="n">
        <v>87.5</v>
      </c>
      <c r="E18" s="3" t="n">
        <v>57.5</v>
      </c>
      <c r="F18" s="3" t="n">
        <v>110</v>
      </c>
      <c r="G18" s="3">
        <f>ROUND(D18+E18+F18,3)</f>
        <v/>
      </c>
      <c r="H18" s="3">
        <f>ROUND(G18*IF(OR(B18="M",B18="Mx"),500/(MAX(40,MIN(210,C18))^4*-0.0000010930+MAX(40,MIN(210,C18))^3*0.0007391293+MAX(40,MIN(210,C18))^2*-0.1918759221+MAX(40,MIN(210,C18))*24.0900756-307.75076),500/(MAX(40,MIN(150,C18))^4*-0.0000010706+MAX(40,MIN(150,C18))^3*0.0005158568+MAX(40,MIN(150,C18))^2*-0.1126655495+MAX(40,MIN(150,C18))*13.6175032-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s="3" t="n">
        <v>71.09999999999999</v>
      </c>
      <c r="D19" s="3" t="n">
        <v>107.5</v>
      </c>
      <c r="E19" s="3" t="n">
        <v>65</v>
      </c>
      <c r="F19" s="3" t="n">
        <v>115</v>
      </c>
      <c r="G19" s="3">
        <f>ROUND(D19+E19+F19,3)</f>
        <v/>
      </c>
      <c r="H19" s="3">
        <f>ROUND(G19*IF(OR(B19="M",B19="Mx"),500/(MAX(40,MIN(210,C19))^4*-0.0000010930+MAX(40,MIN(210,C19))^3*0.0007391293+MAX(40,MIN(210,C19))^2*-0.1918759221+MAX(40,MIN(210,C19))*24.0900756-307.75076),500/(MAX(40,MIN(150,C19))^4*-0.0000010706+MAX(40,MIN(150,C19))^3*0.0005158568+MAX(40,MIN(150,C19))^2*-0.1126655495+MAX(40,MIN(150,C19))*13.6175032-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s="3" t="n">
        <v>80.2</v>
      </c>
      <c r="D20" s="3" t="n">
        <v>162.5</v>
      </c>
      <c r="E20" s="3" t="n">
        <v>102.5</v>
      </c>
      <c r="F20" s="3" t="n">
        <v>205</v>
      </c>
      <c r="G20" s="3">
        <f>ROUND(D20+E20+F20,3)</f>
        <v/>
      </c>
      <c r="H20" s="3">
        <f>ROUND(G20*IF(OR(B20="M",B20="Mx"),500/(MAX(40,MIN(210,C20))^4*-0.0000010930+MAX(40,MIN(210,C20))^3*0.0007391293+MAX(40,MIN(210,C20))^2*-0.1918759221+MAX(40,MIN(210,C20))*24.0900756-307.75076),500/(MAX(40,MIN(150,C20))^4*-0.0000010706+MAX(40,MIN(150,C20))^3*0.0005158568+MAX(40,MIN(150,C20))^2*-0.1126655495+MAX(40,MIN(150,C20))*13.6175032-57.96288)),3)</f>
        <v/>
      </c>
    </row>
    <row r="21">
      <c r="A21" t="inlineStr">
        <is>
          <t>Curtis Laird</t>
        </is>
      </c>
      <c r="B21" t="inlineStr">
        <is>
          <t>M</t>
        </is>
      </c>
      <c r="C21" s="3" t="n">
        <v>108.98</v>
      </c>
      <c r="D21" s="3" t="n">
        <v>226.8</v>
      </c>
      <c r="E21" s="3" t="n">
        <v>165.56</v>
      </c>
      <c r="F21" s="3" t="n">
        <v>242.67</v>
      </c>
      <c r="G21" s="3">
        <f>ROUND(D21+E21+F21,3)</f>
        <v/>
      </c>
      <c r="H21" s="3">
        <f>ROUND(G21*IF(OR(B21="M",B21="Mx"),500/(MAX(40,MIN(210,C21))^4*-0.0000010930+MAX(40,MIN(210,C21))^3*0.0007391293+MAX(40,MIN(210,C21))^2*-0.1918759221+MAX(40,MIN(210,C21))*24.0900756-307.75076),500/(MAX(40,MIN(150,C21))^4*-0.0000010706+MAX(40,MIN(150,C21))^3*0.0005158568+MAX(40,MIN(150,C21))^2*-0.1126655495+MAX(40,MIN(150,C21))*13.6175032-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2026-08-23T13:08:37Z</dcterms:modified>
</cp:coreProperties>
</file>