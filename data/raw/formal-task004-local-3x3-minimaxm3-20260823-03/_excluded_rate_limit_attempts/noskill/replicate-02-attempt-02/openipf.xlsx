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Equipment</t>
        </is>
      </c>
      <c r="D1" t="inlineStr">
        <is>
          <t>BodyweightKg</t>
        </is>
      </c>
      <c r="E1" t="inlineStr">
        <is>
          <t>Best3SquatKg</t>
        </is>
      </c>
      <c r="F1" t="inlineStr">
        <is>
          <t>Best3BenchKg</t>
        </is>
      </c>
      <c r="G1" t="inlineStr">
        <is>
          <t>Best3DeadliftKg</t>
        </is>
      </c>
      <c r="H1" t="inlineStr">
        <is>
          <t>TotalKg</t>
        </is>
      </c>
      <c r="I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inlineStr">
        <is>
          <t>Raw</t>
        </is>
      </c>
      <c r="D2" t="n">
        <v>82.25</v>
      </c>
      <c r="E2" t="n">
        <v>215</v>
      </c>
      <c r="F2" t="n">
        <v>132.5</v>
      </c>
      <c r="G2" t="n">
        <v>260</v>
      </c>
      <c r="H2">
        <f>ROUND(E2+F2+G2,3)</f>
        <v/>
      </c>
      <c r="I2">
        <f>ROUND(IF(OR(B2="M",B2="Mx"),H2*500/(-307.75076+24.0900756*D2-0.1918759221*POWER(D2,2)+0.0007391293*POWER(D2,3)-0.000001093*POWER(D2,4)),H2*500/(-57.96288+13.6175032*D2-0.1126655495*POWER(D2,2)+0.0005158568*POWER(D2,3)-0.0000010706*POWER(D2,4))),3)</f>
        <v/>
      </c>
    </row>
    <row r="3">
      <c r="A3" t="inlineStr">
        <is>
          <t>Matthew Starkey</t>
        </is>
      </c>
      <c r="B3" t="inlineStr">
        <is>
          <t>M</t>
        </is>
      </c>
      <c r="C3" t="inlineStr">
        <is>
          <t>Raw</t>
        </is>
      </c>
      <c r="D3" t="n">
        <v>82.90000000000001</v>
      </c>
      <c r="E3" t="n">
        <v>205</v>
      </c>
      <c r="F3" t="n">
        <v>130</v>
      </c>
      <c r="G3" t="n">
        <v>227.5</v>
      </c>
      <c r="H3">
        <f>ROUND(E3+F3+G3,3)</f>
        <v/>
      </c>
      <c r="I3">
        <f>ROUND(IF(OR(B3="M",B3="Mx"),H3*500/(-307.75076+24.0900756*D3-0.1918759221*POWER(D3,2)+0.0007391293*POWER(D3,3)-0.000001093*POWER(D3,4)),H3*500/(-57.96288+13.6175032*D3-0.1126655495*POWER(D3,2)+0.0005158568*POWER(D3,3)-0.0000010706*POWER(D3,4))),3)</f>
        <v/>
      </c>
    </row>
    <row r="4">
      <c r="A4" t="inlineStr">
        <is>
          <t>Austin Keanu</t>
        </is>
      </c>
      <c r="B4" t="inlineStr">
        <is>
          <t>M</t>
        </is>
      </c>
      <c r="C4" t="inlineStr">
        <is>
          <t>Raw</t>
        </is>
      </c>
      <c r="D4" t="n">
        <v>122.4</v>
      </c>
      <c r="E4" t="n">
        <v>275</v>
      </c>
      <c r="F4" t="n">
        <v>142.5</v>
      </c>
      <c r="G4" t="n">
        <v>235</v>
      </c>
      <c r="H4">
        <f>ROUND(E4+F4+G4,3)</f>
        <v/>
      </c>
      <c r="I4">
        <f>ROUND(IF(OR(B4="M",B4="Mx"),H4*500/(-307.75076+24.0900756*D4-0.1918759221*POWER(D4,2)+0.0007391293*POWER(D4,3)-0.000001093*POWER(D4,4)),H4*500/(-57.96288+13.6175032*D4-0.1126655495*POWER(D4,2)+0.0005158568*POWER(D4,3)-0.0000010706*POWER(D4,4))),3)</f>
        <v/>
      </c>
    </row>
    <row r="5">
      <c r="A5" t="inlineStr">
        <is>
          <t>Michelle McKeaveney</t>
        </is>
      </c>
      <c r="B5" t="inlineStr">
        <is>
          <t>F</t>
        </is>
      </c>
      <c r="C5" t="inlineStr">
        <is>
          <t>Raw</t>
        </is>
      </c>
      <c r="D5" t="n">
        <v>96.8</v>
      </c>
      <c r="E5" t="n">
        <v>102.5</v>
      </c>
      <c r="F5" t="n">
        <v>50</v>
      </c>
      <c r="G5" t="n">
        <v>137.5</v>
      </c>
      <c r="H5">
        <f>ROUND(E5+F5+G5,3)</f>
        <v/>
      </c>
      <c r="I5">
        <f>ROUND(IF(OR(B5="M",B5="Mx"),H5*500/(-307.75076+24.0900756*D5-0.1918759221*POWER(D5,2)+0.0007391293*POWER(D5,3)-0.000001093*POWER(D5,4)),H5*500/(-57.96288+13.6175032*D5-0.1126655495*POWER(D5,2)+0.0005158568*POWER(D5,3)-0.0000010706*POWER(D5,4))),3)</f>
        <v/>
      </c>
    </row>
    <row r="6">
      <c r="A6" t="inlineStr">
        <is>
          <t>Tracy Klinger</t>
        </is>
      </c>
      <c r="B6" t="inlineStr">
        <is>
          <t>F</t>
        </is>
      </c>
      <c r="C6" t="inlineStr">
        <is>
          <t>Raw</t>
        </is>
      </c>
      <c r="D6" t="n">
        <v>130.82</v>
      </c>
      <c r="E6" t="n">
        <v>62.5</v>
      </c>
      <c r="F6" t="n">
        <v>57.5</v>
      </c>
      <c r="G6" t="n">
        <v>117.5</v>
      </c>
      <c r="H6">
        <f>ROUND(E6+F6+G6,3)</f>
        <v/>
      </c>
      <c r="I6">
        <f>ROUND(IF(OR(B6="M",B6="Mx"),H6*500/(-307.75076+24.0900756*D6-0.1918759221*POWER(D6,2)+0.0007391293*POWER(D6,3)-0.000001093*POWER(D6,4)),H6*500/(-57.96288+13.6175032*D6-0.1126655495*POWER(D6,2)+0.0005158568*POWER(D6,3)-0.0000010706*POWER(D6,4))),3)</f>
        <v/>
      </c>
    </row>
    <row r="7">
      <c r="A7" t="inlineStr">
        <is>
          <t>Mohanad Ibrahiem</t>
        </is>
      </c>
      <c r="B7" t="inlineStr">
        <is>
          <t>M</t>
        </is>
      </c>
      <c r="C7" t="inlineStr">
        <is>
          <t>Raw</t>
        </is>
      </c>
      <c r="D7" t="n">
        <v>103.94</v>
      </c>
      <c r="E7" t="n">
        <v>255</v>
      </c>
      <c r="F7" t="n">
        <v>165</v>
      </c>
      <c r="G7" t="n">
        <v>292.5</v>
      </c>
      <c r="H7">
        <f>ROUND(E7+F7+G7,3)</f>
        <v/>
      </c>
      <c r="I7">
        <f>ROUND(IF(OR(B7="M",B7="Mx"),H7*500/(-307.75076+24.0900756*D7-0.1918759221*POWER(D7,2)+0.0007391293*POWER(D7,3)-0.000001093*POWER(D7,4)),H7*500/(-57.96288+13.6175032*D7-0.1126655495*POWER(D7,2)+0.0005158568*POWER(D7,3)-0.0000010706*POWER(D7,4))),3)</f>
        <v/>
      </c>
    </row>
    <row r="8">
      <c r="A8" t="inlineStr">
        <is>
          <t>Pamela Cresci</t>
        </is>
      </c>
      <c r="B8" t="inlineStr">
        <is>
          <t>F</t>
        </is>
      </c>
      <c r="C8" t="inlineStr">
        <is>
          <t>Raw</t>
        </is>
      </c>
      <c r="D8" t="n">
        <v>58.2</v>
      </c>
      <c r="E8" t="n">
        <v>82.5</v>
      </c>
      <c r="F8" t="n">
        <v>47.5</v>
      </c>
      <c r="G8" t="n">
        <v>130</v>
      </c>
      <c r="H8">
        <f>ROUND(E8+F8+G8,3)</f>
        <v/>
      </c>
      <c r="I8">
        <f>ROUND(IF(OR(B8="M",B8="Mx"),H8*500/(-307.75076+24.0900756*D8-0.1918759221*POWER(D8,2)+0.0007391293*POWER(D8,3)-0.000001093*POWER(D8,4)),H8*500/(-57.96288+13.6175032*D8-0.1126655495*POWER(D8,2)+0.0005158568*POWER(D8,3)-0.0000010706*POWER(D8,4))),3)</f>
        <v/>
      </c>
    </row>
    <row r="9">
      <c r="A9" t="inlineStr">
        <is>
          <t>Wilie Carpentier</t>
        </is>
      </c>
      <c r="B9" t="inlineStr">
        <is>
          <t>M</t>
        </is>
      </c>
      <c r="C9" t="inlineStr">
        <is>
          <t>Raw</t>
        </is>
      </c>
      <c r="D9" t="n">
        <v>81.8</v>
      </c>
      <c r="E9" t="n">
        <v>200</v>
      </c>
      <c r="F9" t="n">
        <v>130</v>
      </c>
      <c r="G9" t="n">
        <v>237.5</v>
      </c>
      <c r="H9">
        <f>ROUND(E9+F9+G9,3)</f>
        <v/>
      </c>
      <c r="I9">
        <f>ROUND(IF(OR(B9="M",B9="Mx"),H9*500/(-307.75076+24.0900756*D9-0.1918759221*POWER(D9,2)+0.0007391293*POWER(D9,3)-0.000001093*POWER(D9,4)),H9*500/(-57.96288+13.6175032*D9-0.1126655495*POWER(D9,2)+0.0005158568*POWER(D9,3)-0.0000010706*POWER(D9,4))),3)</f>
        <v/>
      </c>
    </row>
    <row r="10">
      <c r="A10" t="inlineStr">
        <is>
          <t>Joshua Noble</t>
        </is>
      </c>
      <c r="B10" t="inlineStr">
        <is>
          <t>M</t>
        </is>
      </c>
      <c r="C10" t="inlineStr">
        <is>
          <t>Raw</t>
        </is>
      </c>
      <c r="D10" t="n">
        <v>90.5</v>
      </c>
      <c r="E10" t="n">
        <v>242.5</v>
      </c>
      <c r="F10" t="n">
        <v>132.5</v>
      </c>
      <c r="G10" t="n">
        <v>232.5</v>
      </c>
      <c r="H10">
        <f>ROUND(E10+F10+G10,3)</f>
        <v/>
      </c>
      <c r="I10">
        <f>ROUND(IF(OR(B10="M",B10="Mx"),H10*500/(-307.75076+24.0900756*D10-0.1918759221*POWER(D10,2)+0.0007391293*POWER(D10,3)-0.000001093*POWER(D10,4)),H10*500/(-57.96288+13.6175032*D10-0.1126655495*POWER(D10,2)+0.0005158568*POWER(D10,3)-0.0000010706*POWER(D10,4))),3)</f>
        <v/>
      </c>
    </row>
    <row r="11">
      <c r="A11" t="inlineStr">
        <is>
          <t>Amber Gomez</t>
        </is>
      </c>
      <c r="B11" t="inlineStr">
        <is>
          <t>F</t>
        </is>
      </c>
      <c r="C11" t="inlineStr">
        <is>
          <t>Raw</t>
        </is>
      </c>
      <c r="D11" t="n">
        <v>75.90000000000001</v>
      </c>
      <c r="E11" t="n">
        <v>137.5</v>
      </c>
      <c r="F11" t="n">
        <v>75</v>
      </c>
      <c r="G11" t="n">
        <v>167.5</v>
      </c>
      <c r="H11">
        <f>ROUND(E11+F11+G11,3)</f>
        <v/>
      </c>
      <c r="I11">
        <f>ROUND(IF(OR(B11="M",B11="Mx"),H11*500/(-307.75076+24.0900756*D11-0.1918759221*POWER(D11,2)+0.0007391293*POWER(D11,3)-0.000001093*POWER(D11,4)),H11*500/(-57.96288+13.6175032*D11-0.1126655495*POWER(D11,2)+0.0005158568*POWER(D11,3)-0.0000010706*POWER(D11,4))),3)</f>
        <v/>
      </c>
    </row>
    <row r="12">
      <c r="A12" t="inlineStr">
        <is>
          <t>Arlene van Diepen</t>
        </is>
      </c>
      <c r="B12" t="inlineStr">
        <is>
          <t>F</t>
        </is>
      </c>
      <c r="C12" t="inlineStr">
        <is>
          <t>Raw</t>
        </is>
      </c>
      <c r="D12" t="n">
        <v>79.3</v>
      </c>
      <c r="E12" t="n">
        <v>107.5</v>
      </c>
      <c r="F12" t="n">
        <v>50</v>
      </c>
      <c r="G12" t="n">
        <v>140</v>
      </c>
      <c r="H12">
        <f>ROUND(E12+F12+G12,3)</f>
        <v/>
      </c>
      <c r="I12">
        <f>ROUND(IF(OR(B12="M",B12="Mx"),H12*500/(-307.75076+24.0900756*D12-0.1918759221*POWER(D12,2)+0.0007391293*POWER(D12,3)-0.000001093*POWER(D12,4)),H12*500/(-57.96288+13.6175032*D12-0.1126655495*POWER(D12,2)+0.0005158568*POWER(D12,3)-0.0000010706*POWER(D12,4))),3)</f>
        <v/>
      </c>
    </row>
    <row r="13">
      <c r="A13" t="inlineStr">
        <is>
          <t>Alma Kimura</t>
        </is>
      </c>
      <c r="B13" t="inlineStr">
        <is>
          <t>F</t>
        </is>
      </c>
      <c r="C13" t="inlineStr">
        <is>
          <t>Raw</t>
        </is>
      </c>
      <c r="D13" t="n">
        <v>61.81</v>
      </c>
      <c r="E13" t="n">
        <v>107.5</v>
      </c>
      <c r="F13" t="n">
        <v>52.5</v>
      </c>
      <c r="G13" t="n">
        <v>130</v>
      </c>
      <c r="H13">
        <f>ROUND(E13+F13+G13,3)</f>
        <v/>
      </c>
      <c r="I13">
        <f>ROUND(IF(OR(B13="M",B13="Mx"),H13*500/(-307.75076+24.0900756*D13-0.1918759221*POWER(D13,2)+0.0007391293*POWER(D13,3)-0.000001093*POWER(D13,4)),H13*500/(-57.96288+13.6175032*D13-0.1126655495*POWER(D13,2)+0.0005158568*POWER(D13,3)-0.0000010706*POWER(D13,4))),3)</f>
        <v/>
      </c>
    </row>
    <row r="14">
      <c r="A14" t="inlineStr">
        <is>
          <t>Jonathan Cruz #1</t>
        </is>
      </c>
      <c r="B14" t="inlineStr">
        <is>
          <t>M</t>
        </is>
      </c>
      <c r="C14" t="inlineStr">
        <is>
          <t>Raw</t>
        </is>
      </c>
      <c r="D14" t="n">
        <v>72.5</v>
      </c>
      <c r="E14" t="n">
        <v>245</v>
      </c>
      <c r="F14" t="n">
        <v>152.5</v>
      </c>
      <c r="G14" t="n">
        <v>290</v>
      </c>
      <c r="H14">
        <f>ROUND(E14+F14+G14,3)</f>
        <v/>
      </c>
      <c r="I14">
        <f>ROUND(IF(OR(B14="M",B14="Mx"),H14*500/(-307.75076+24.0900756*D14-0.1918759221*POWER(D14,2)+0.0007391293*POWER(D14,3)-0.000001093*POWER(D14,4)),H14*500/(-57.96288+13.6175032*D14-0.1126655495*POWER(D14,2)+0.0005158568*POWER(D14,3)-0.0000010706*POWER(D14,4))),3)</f>
        <v/>
      </c>
    </row>
    <row r="15">
      <c r="A15" t="inlineStr">
        <is>
          <t>Serena Abweh</t>
        </is>
      </c>
      <c r="B15" t="inlineStr">
        <is>
          <t>F</t>
        </is>
      </c>
      <c r="C15" t="inlineStr">
        <is>
          <t>Raw</t>
        </is>
      </c>
      <c r="D15" t="n">
        <v>46.1</v>
      </c>
      <c r="E15" t="n">
        <v>82.5</v>
      </c>
      <c r="F15" t="n">
        <v>52.5</v>
      </c>
      <c r="G15" t="n">
        <v>125.5</v>
      </c>
      <c r="H15">
        <f>ROUND(E15+F15+G15,3)</f>
        <v/>
      </c>
      <c r="I15">
        <f>ROUND(IF(OR(B15="M",B15="Mx"),H15*500/(-307.75076+24.0900756*D15-0.1918759221*POWER(D15,2)+0.0007391293*POWER(D15,3)-0.000001093*POWER(D15,4)),H15*500/(-57.96288+13.6175032*D15-0.1126655495*POWER(D15,2)+0.0005158568*POWER(D15,3)-0.0000010706*POWER(D15,4))),3)</f>
        <v/>
      </c>
    </row>
    <row r="16">
      <c r="A16" t="inlineStr">
        <is>
          <t>Ashleigh Sutton</t>
        </is>
      </c>
      <c r="B16" t="inlineStr">
        <is>
          <t>F</t>
        </is>
      </c>
      <c r="C16" t="inlineStr">
        <is>
          <t>Raw</t>
        </is>
      </c>
      <c r="D16" t="n">
        <v>74.2</v>
      </c>
      <c r="E16" t="n">
        <v>170</v>
      </c>
      <c r="F16" t="n">
        <v>85</v>
      </c>
      <c r="G16" t="n">
        <v>197.5</v>
      </c>
      <c r="H16">
        <f>ROUND(E16+F16+G16,3)</f>
        <v/>
      </c>
      <c r="I16">
        <f>ROUND(IF(OR(B16="M",B16="Mx"),H16*500/(-307.75076+24.0900756*D16-0.1918759221*POWER(D16,2)+0.0007391293*POWER(D16,3)-0.000001093*POWER(D16,4)),H16*500/(-57.96288+13.6175032*D16-0.1126655495*POWER(D16,2)+0.0005158568*POWER(D16,3)-0.0000010706*POWER(D16,4))),3)</f>
        <v/>
      </c>
    </row>
    <row r="17">
      <c r="A17" t="inlineStr">
        <is>
          <t>Aaron Ziffle</t>
        </is>
      </c>
      <c r="B17" t="inlineStr">
        <is>
          <t>M</t>
        </is>
      </c>
      <c r="C17" t="inlineStr">
        <is>
          <t>Raw</t>
        </is>
      </c>
      <c r="D17" t="n">
        <v>92.8</v>
      </c>
      <c r="E17" t="n">
        <v>255</v>
      </c>
      <c r="F17" t="n">
        <v>182.5</v>
      </c>
      <c r="G17" t="n">
        <v>245</v>
      </c>
      <c r="H17">
        <f>ROUND(E17+F17+G17,3)</f>
        <v/>
      </c>
      <c r="I17">
        <f>ROUND(IF(OR(B17="M",B17="Mx"),H17*500/(-307.75076+24.0900756*D17-0.1918759221*POWER(D17,2)+0.0007391293*POWER(D17,3)-0.000001093*POWER(D17,4)),H17*500/(-57.96288+13.6175032*D17-0.1126655495*POWER(D17,2)+0.0005158568*POWER(D17,3)-0.0000010706*POWER(D17,4))),3)</f>
        <v/>
      </c>
    </row>
    <row r="18">
      <c r="A18" t="inlineStr">
        <is>
          <t>Adelaide Hurlbert</t>
        </is>
      </c>
      <c r="B18" t="inlineStr">
        <is>
          <t>F</t>
        </is>
      </c>
      <c r="C18" t="inlineStr">
        <is>
          <t>Raw</t>
        </is>
      </c>
      <c r="D18" t="n">
        <v>61.8</v>
      </c>
      <c r="E18" t="n">
        <v>87.5</v>
      </c>
      <c r="F18" t="n">
        <v>57.5</v>
      </c>
      <c r="G18" t="n">
        <v>110</v>
      </c>
      <c r="H18">
        <f>ROUND(E18+F18+G18,3)</f>
        <v/>
      </c>
      <c r="I18">
        <f>ROUND(IF(OR(B18="M",B18="Mx"),H18*500/(-307.75076+24.0900756*D18-0.1918759221*POWER(D18,2)+0.0007391293*POWER(D18,3)-0.000001093*POWER(D18,4)),H18*500/(-57.96288+13.6175032*D18-0.1126655495*POWER(D18,2)+0.0005158568*POWER(D18,3)-0.0000010706*POWER(D18,4))),3)</f>
        <v/>
      </c>
    </row>
    <row r="19">
      <c r="A19" t="inlineStr">
        <is>
          <t>Coralee Traurig</t>
        </is>
      </c>
      <c r="B19" t="inlineStr">
        <is>
          <t>F</t>
        </is>
      </c>
      <c r="C19" t="inlineStr">
        <is>
          <t>Raw</t>
        </is>
      </c>
      <c r="D19" t="n">
        <v>71.09999999999999</v>
      </c>
      <c r="E19" t="n">
        <v>107.5</v>
      </c>
      <c r="F19" t="n">
        <v>65</v>
      </c>
      <c r="G19" t="n">
        <v>115</v>
      </c>
      <c r="H19">
        <f>ROUND(E19+F19+G19,3)</f>
        <v/>
      </c>
      <c r="I19">
        <f>ROUND(IF(OR(B19="M",B19="Mx"),H19*500/(-307.75076+24.0900756*D19-0.1918759221*POWER(D19,2)+0.0007391293*POWER(D19,3)-0.000001093*POWER(D19,4)),H19*500/(-57.96288+13.6175032*D19-0.1126655495*POWER(D19,2)+0.0005158568*POWER(D19,3)-0.0000010706*POWER(D19,4))),3)</f>
        <v/>
      </c>
    </row>
    <row r="20">
      <c r="A20" t="inlineStr">
        <is>
          <t>Hugo Laliberté</t>
        </is>
      </c>
      <c r="B20" t="inlineStr">
        <is>
          <t>M</t>
        </is>
      </c>
      <c r="C20" t="inlineStr">
        <is>
          <t>Raw</t>
        </is>
      </c>
      <c r="D20" t="n">
        <v>80.2</v>
      </c>
      <c r="E20" t="n">
        <v>162.5</v>
      </c>
      <c r="F20" t="n">
        <v>102.5</v>
      </c>
      <c r="G20" t="n">
        <v>205</v>
      </c>
      <c r="H20">
        <f>ROUND(E20+F20+G20,3)</f>
        <v/>
      </c>
      <c r="I20">
        <f>ROUND(IF(OR(B20="M",B20="Mx"),H20*500/(-307.75076+24.0900756*D20-0.1918759221*POWER(D20,2)+0.0007391293*POWER(D20,3)-0.000001093*POWER(D20,4)),H20*500/(-57.96288+13.6175032*D20-0.1126655495*POWER(D20,2)+0.0005158568*POWER(D20,3)-0.0000010706*POWER(D20,4))),3)</f>
        <v/>
      </c>
    </row>
    <row r="21">
      <c r="A21" t="inlineStr">
        <is>
          <t>Curtis Laird</t>
        </is>
      </c>
      <c r="B21" t="inlineStr">
        <is>
          <t>M</t>
        </is>
      </c>
      <c r="C21" t="inlineStr">
        <is>
          <t>Raw</t>
        </is>
      </c>
      <c r="D21" t="n">
        <v>108.98</v>
      </c>
      <c r="E21" t="n">
        <v>226.8</v>
      </c>
      <c r="F21" t="n">
        <v>165.56</v>
      </c>
      <c r="G21" t="n">
        <v>242.67</v>
      </c>
      <c r="H21">
        <f>ROUND(E21+F21+G21,3)</f>
        <v/>
      </c>
      <c r="I21">
        <f>ROUND(IF(OR(B21="M",B21="Mx"),H21*500/(-307.75076+24.0900756*D21-0.1918759221*POWER(D21,2)+0.0007391293*POWER(D21,3)-0.000001093*POWER(D21,4)),H21*500/(-57.96288+13.6175032*D21-0.1126655495*POWER(D21,2)+0.0005158568*POWER(D21,3)-0.0000010706*POWER(D21,4))),3)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2026-08-23T14:02:09Z</dcterms:modified>
</cp:coreProperties>
</file>