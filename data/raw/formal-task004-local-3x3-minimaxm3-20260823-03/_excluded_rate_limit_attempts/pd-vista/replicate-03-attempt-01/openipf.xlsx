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<sst xmlns="http://schemas.openxmlformats.org/spreadsheetml/2006/main" count="494" uniqueCount="183">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</sst>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5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8</v>
      </c>
      <c r="E1" s="1" t="s">
        <v>10</v>
      </c>
      <c r="F1" s="1" t="s">
        <v>11</v>
      </c>
      <c r="G1" s="1" t="s">
        <v>12</v>
      </c>
      <c r="H1" s="1" t="s">
        <v>181</v>
      </c>
      <c r="I1" s="1" t="s">
        <v>182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28</v>
      </c>
      <c r="D2" s="0" t="n">
        <v>82.25</v>
      </c>
      <c r="E2" s="0" t="n">
        <v>215</v>
      </c>
      <c r="F2" s="0" t="n">
        <v>132.5</v>
      </c>
      <c r="G2" s="0" t="n">
        <v>260</v>
      </c>
      <c r="H2" s="0" t="n">
        <f aca="false">IF(COUNT(E2:G2)=3,ROUND(SUM(E2:G2),3),"")</f>
        <v>607.5</v>
      </c>
      <c r="I2" s="0" t="n">
        <f aca="false">IF(B2="M",ROUND(500*H2/(-0.000001093*D2^4+0.0007391293*D2^3-0.1918759221*D2^2+24.0900756*D2-307.75076),3),ROUND(500*H2/(-0.0000010706*D2^4+0.0005158568*D2^3-0.1126655495*D2^2+13.6175032*D2-57.96288),3))</f>
        <v>412.225</v>
      </c>
    </row>
    <row r="3" customFormat="false" ht="15" hidden="false" customHeight="false" outlineLevel="0" collapsed="false">
      <c r="A3" s="1" t="s">
        <v>43</v>
      </c>
      <c r="B3" s="1" t="s">
        <v>26</v>
      </c>
      <c r="C3" s="1" t="s">
        <v>28</v>
      </c>
      <c r="D3" s="0" t="n">
        <v>82.9</v>
      </c>
      <c r="E3" s="0" t="n">
        <v>205</v>
      </c>
      <c r="F3" s="0" t="n">
        <v>130</v>
      </c>
      <c r="G3" s="0" t="n">
        <v>227.5</v>
      </c>
      <c r="H3" s="0" t="n">
        <f aca="false">IF(COUNT(E3:G3)=3,ROUND(SUM(E3:G3),3),"")</f>
        <v>562.5</v>
      </c>
      <c r="I3" s="0" t="n">
        <f aca="false">IF(B3="M",ROUND(500*H3/(-0.000001093*D3^4+0.0007391293*D3^3-0.1918759221*D3^2+24.0900756*D3-307.75076),3),ROUND(500*H3/(-0.0000010706*D3^4+0.0005158568*D3^3-0.1126655495*D3^2+13.6175032*D3-57.96288),3))</f>
        <v>379.994</v>
      </c>
    </row>
    <row r="4" customFormat="false" ht="15" hidden="false" customHeight="false" outlineLevel="0" collapsed="false">
      <c r="A4" s="1" t="s">
        <v>53</v>
      </c>
      <c r="B4" s="1" t="s">
        <v>26</v>
      </c>
      <c r="C4" s="1" t="s">
        <v>28</v>
      </c>
      <c r="D4" s="0" t="n">
        <v>122.4</v>
      </c>
      <c r="E4" s="0" t="n">
        <v>275</v>
      </c>
      <c r="F4" s="0" t="n">
        <v>142.5</v>
      </c>
      <c r="G4" s="0" t="n">
        <v>235</v>
      </c>
      <c r="H4" s="0" t="n">
        <f aca="false">IF(COUNT(E4:G4)=3,ROUND(SUM(E4:G4),3),"")</f>
        <v>652.5</v>
      </c>
      <c r="I4" s="0" t="n">
        <f aca="false">IF(B4="M",ROUND(500*H4/(-0.000001093*D4^4+0.0007391293*D4^3-0.1918759221*D4^2+24.0900756*D4-307.75076),3),ROUND(500*H4/(-0.0000010706*D4^4+0.0005158568*D4^3-0.1126655495*D4^2+13.6175032*D4-57.96288),3))</f>
        <v>372.304</v>
      </c>
    </row>
    <row r="5" customFormat="false" ht="15" hidden="false" customHeight="false" outlineLevel="0" collapsed="false">
      <c r="A5" s="1" t="s">
        <v>62</v>
      </c>
      <c r="B5" s="1" t="s">
        <v>63</v>
      </c>
      <c r="C5" s="1" t="s">
        <v>28</v>
      </c>
      <c r="D5" s="0" t="n">
        <v>96.8</v>
      </c>
      <c r="E5" s="0" t="n">
        <v>102.5</v>
      </c>
      <c r="F5" s="0" t="n">
        <v>50</v>
      </c>
      <c r="G5" s="0" t="n">
        <v>137.5</v>
      </c>
      <c r="H5" s="0" t="n">
        <f aca="false">IF(COUNT(E5:G5)=3,ROUND(SUM(E5:G5),3),"")</f>
        <v>290</v>
      </c>
      <c r="I5" s="0" t="n">
        <f aca="false">IF(B5="M",ROUND(500*H5/(-0.000001093*D5^4+0.0007391293*D5^3-0.1918759221*D5^2+24.0900756*D5-307.75076),3),ROUND(500*H5/(-0.0000010706*D5^4+0.0005158568*D5^3-0.1126655495*D5^2+13.6175032*D5-57.96288),3))</f>
        <v>250.687</v>
      </c>
    </row>
    <row r="6" customFormat="false" ht="15" hidden="false" customHeight="false" outlineLevel="0" collapsed="false">
      <c r="A6" s="1" t="s">
        <v>73</v>
      </c>
      <c r="B6" s="1" t="s">
        <v>63</v>
      </c>
      <c r="C6" s="1" t="s">
        <v>28</v>
      </c>
      <c r="D6" s="0" t="n">
        <v>130.82</v>
      </c>
      <c r="E6" s="0" t="n">
        <v>62.5</v>
      </c>
      <c r="F6" s="0" t="n">
        <v>57.5</v>
      </c>
      <c r="G6" s="0" t="n">
        <v>117.5</v>
      </c>
      <c r="H6" s="0" t="n">
        <f aca="false">IF(COUNT(E6:G6)=3,ROUND(SUM(E6:G6),3),"")</f>
        <v>237.5</v>
      </c>
      <c r="I6" s="0" t="n">
        <f aca="false">IF(B6="M",ROUND(500*H6/(-0.000001093*D6^4+0.0007391293*D6^3-0.1918759221*D6^2+24.0900756*D6-307.75076),3),ROUND(500*H6/(-0.0000010706*D6^4+0.0005158568*D6^3-0.1126655495*D6^2+13.6175032*D6-57.96288),3))</f>
        <v>186.511</v>
      </c>
    </row>
    <row r="7" customFormat="false" ht="15" hidden="false" customHeight="false" outlineLevel="0" collapsed="false">
      <c r="A7" s="1" t="s">
        <v>81</v>
      </c>
      <c r="B7" s="1" t="s">
        <v>26</v>
      </c>
      <c r="C7" s="1" t="s">
        <v>28</v>
      </c>
      <c r="D7" s="0" t="n">
        <v>103.94</v>
      </c>
      <c r="E7" s="0" t="n">
        <v>255</v>
      </c>
      <c r="F7" s="0" t="n">
        <v>165</v>
      </c>
      <c r="G7" s="0" t="n">
        <v>292.5</v>
      </c>
      <c r="H7" s="0" t="n">
        <f aca="false">IF(COUNT(E7:G7)=3,ROUND(SUM(E7:G7),3),"")</f>
        <v>712.5</v>
      </c>
      <c r="I7" s="0" t="n">
        <f aca="false">IF(B7="M",ROUND(500*H7/(-0.000001093*D7^4+0.0007391293*D7^3-0.1918759221*D7^2+24.0900756*D7-307.75076),3),ROUND(500*H7/(-0.0000010706*D7^4+0.0005158568*D7^3-0.1126655495*D7^2+13.6175032*D7-57.96288),3))</f>
        <v>431.48</v>
      </c>
    </row>
    <row r="8" customFormat="false" ht="15" hidden="false" customHeight="false" outlineLevel="0" collapsed="false">
      <c r="A8" s="1" t="s">
        <v>91</v>
      </c>
      <c r="B8" s="1" t="s">
        <v>63</v>
      </c>
      <c r="C8" s="1" t="s">
        <v>28</v>
      </c>
      <c r="D8" s="0" t="n">
        <v>58.2</v>
      </c>
      <c r="E8" s="0" t="n">
        <v>82.5</v>
      </c>
      <c r="F8" s="0" t="n">
        <v>47.5</v>
      </c>
      <c r="G8" s="0" t="n">
        <v>130</v>
      </c>
      <c r="H8" s="0" t="n">
        <f aca="false">IF(COUNT(E8:G8)=3,ROUND(SUM(E8:G8),3),"")</f>
        <v>260</v>
      </c>
      <c r="I8" s="0" t="n">
        <f aca="false">IF(B8="M",ROUND(500*H8/(-0.000001093*D8^4+0.0007391293*D8^3-0.1918759221*D8^2+24.0900756*D8-307.75076),3),ROUND(500*H8/(-0.0000010706*D8^4+0.0005158568*D8^3-0.1126655495*D8^2+13.6175032*D8-57.96288),3))</f>
        <v>293.877</v>
      </c>
    </row>
    <row r="9" customFormat="false" ht="15" hidden="false" customHeight="false" outlineLevel="0" collapsed="false">
      <c r="A9" s="1" t="s">
        <v>98</v>
      </c>
      <c r="B9" s="1" t="s">
        <v>26</v>
      </c>
      <c r="C9" s="1" t="s">
        <v>28</v>
      </c>
      <c r="D9" s="0" t="n">
        <v>81.8</v>
      </c>
      <c r="E9" s="0" t="n">
        <v>200</v>
      </c>
      <c r="F9" s="0" t="n">
        <v>130</v>
      </c>
      <c r="G9" s="0" t="n">
        <v>237.5</v>
      </c>
      <c r="H9" s="0" t="n">
        <f aca="false">IF(COUNT(E9:G9)=3,ROUND(SUM(E9:G9),3),"")</f>
        <v>567.5</v>
      </c>
      <c r="I9" s="0" t="n">
        <f aca="false">IF(B9="M",ROUND(500*H9/(-0.000001093*D9^4+0.0007391293*D9^3-0.1918759221*D9^2+24.0900756*D9-307.75076),3),ROUND(500*H9/(-0.0000010706*D9^4+0.0005158568*D9^3-0.1126655495*D9^2+13.6175032*D9-57.96288),3))</f>
        <v>386.291</v>
      </c>
    </row>
    <row r="10" customFormat="false" ht="15" hidden="false" customHeight="false" outlineLevel="0" collapsed="false">
      <c r="A10" s="1" t="s">
        <v>106</v>
      </c>
      <c r="B10" s="1" t="s">
        <v>26</v>
      </c>
      <c r="C10" s="1" t="s">
        <v>28</v>
      </c>
      <c r="D10" s="0" t="n">
        <v>90.5</v>
      </c>
      <c r="E10" s="0" t="n">
        <v>242.5</v>
      </c>
      <c r="F10" s="0" t="n">
        <v>132.5</v>
      </c>
      <c r="G10" s="0" t="n">
        <v>232.5</v>
      </c>
      <c r="H10" s="0" t="n">
        <f aca="false">IF(COUNT(E10:G10)=3,ROUND(SUM(E10:G10),3),"")</f>
        <v>607.5</v>
      </c>
      <c r="I10" s="0" t="n">
        <f aca="false">IF(B10="M",ROUND(500*H10/(-0.000001093*D10^4+0.0007391293*D10^3-0.1918759221*D10^2+24.0900756*D10-307.75076),3),ROUND(500*H10/(-0.0000010706*D10^4+0.0005158568*D10^3-0.1126655495*D10^2+13.6175032*D10-57.96288),3))</f>
        <v>391.72</v>
      </c>
    </row>
    <row r="11" customFormat="false" ht="15" hidden="false" customHeight="false" outlineLevel="0" collapsed="false">
      <c r="A11" s="1" t="s">
        <v>113</v>
      </c>
      <c r="B11" s="1" t="s">
        <v>63</v>
      </c>
      <c r="C11" s="1" t="s">
        <v>28</v>
      </c>
      <c r="D11" s="0" t="n">
        <v>75.9</v>
      </c>
      <c r="E11" s="0" t="n">
        <v>137.5</v>
      </c>
      <c r="F11" s="0" t="n">
        <v>75</v>
      </c>
      <c r="G11" s="0" t="n">
        <v>167.5</v>
      </c>
      <c r="H11" s="0" t="n">
        <f aca="false">IF(COUNT(E11:G11)=3,ROUND(SUM(E11:G11),3),"")</f>
        <v>380</v>
      </c>
      <c r="I11" s="0" t="n">
        <f aca="false">IF(B11="M",ROUND(500*H11/(-0.000001093*D11^4+0.0007391293*D11^3-0.1918759221*D11^2+24.0900756*D11-307.75076),3),ROUND(500*H11/(-0.0000010706*D11^4+0.0005158568*D11^3-0.1126655495*D11^2+13.6175032*D11-57.96288),3))</f>
        <v>367.799</v>
      </c>
    </row>
    <row r="12" customFormat="false" ht="15" hidden="false" customHeight="false" outlineLevel="0" collapsed="false">
      <c r="A12" s="1" t="s">
        <v>120</v>
      </c>
      <c r="B12" s="1" t="s">
        <v>63</v>
      </c>
      <c r="C12" s="1" t="s">
        <v>28</v>
      </c>
      <c r="D12" s="0" t="n">
        <v>79.3</v>
      </c>
      <c r="E12" s="0" t="n">
        <v>107.5</v>
      </c>
      <c r="F12" s="0" t="n">
        <v>50</v>
      </c>
      <c r="G12" s="0" t="n">
        <v>140</v>
      </c>
      <c r="H12" s="0" t="n">
        <f aca="false">IF(COUNT(E12:G12)=3,ROUND(SUM(E12:G12),3),"")</f>
        <v>297.5</v>
      </c>
      <c r="I12" s="0" t="n">
        <f aca="false">IF(B12="M",ROUND(500*H12/(-0.000001093*D12^4+0.0007391293*D12^3-0.1918759221*D12^2+24.0900756*D12-307.75076),3),ROUND(500*H12/(-0.0000010706*D12^4+0.0005158568*D12^3-0.1126655495*D12^2+13.6175032*D12-57.96288),3))</f>
        <v>281.554</v>
      </c>
    </row>
    <row r="13" customFormat="false" ht="15" hidden="false" customHeight="false" outlineLevel="0" collapsed="false">
      <c r="A13" s="1" t="s">
        <v>127</v>
      </c>
      <c r="B13" s="1" t="s">
        <v>63</v>
      </c>
      <c r="C13" s="1" t="s">
        <v>28</v>
      </c>
      <c r="D13" s="0" t="n">
        <v>61.81</v>
      </c>
      <c r="E13" s="0" t="n">
        <v>107.5</v>
      </c>
      <c r="F13" s="0" t="n">
        <v>52.5</v>
      </c>
      <c r="G13" s="0" t="n">
        <v>130</v>
      </c>
      <c r="H13" s="0" t="n">
        <f aca="false">IF(COUNT(E13:G13)=3,ROUND(SUM(E13:G13),3),"")</f>
        <v>290</v>
      </c>
      <c r="I13" s="0" t="n">
        <f aca="false">IF(B13="M",ROUND(500*H13/(-0.000001093*D13^4+0.0007391293*D13^3-0.1918759221*D13^2+24.0900756*D13-307.75076),3),ROUND(500*H13/(-0.0000010706*D13^4+0.0005158568*D13^3-0.1126655495*D13^2+13.6175032*D13-57.96288),3))</f>
        <v>315.568</v>
      </c>
    </row>
    <row r="14" customFormat="false" ht="15" hidden="false" customHeight="false" outlineLevel="0" collapsed="false">
      <c r="A14" s="1" t="s">
        <v>136</v>
      </c>
      <c r="B14" s="1" t="s">
        <v>26</v>
      </c>
      <c r="C14" s="1" t="s">
        <v>28</v>
      </c>
      <c r="D14" s="0" t="n">
        <v>72.5</v>
      </c>
      <c r="E14" s="0" t="n">
        <v>245</v>
      </c>
      <c r="F14" s="0" t="n">
        <v>152.5</v>
      </c>
      <c r="G14" s="0" t="n">
        <v>290</v>
      </c>
      <c r="H14" s="0" t="n">
        <f aca="false">IF(COUNT(E14:G14)=3,ROUND(SUM(E14:G14),3),"")</f>
        <v>687.5</v>
      </c>
      <c r="I14" s="0" t="n">
        <f aca="false">IF(B14="M",ROUND(500*H14/(-0.000001093*D14^4+0.0007391293*D14^3-0.1918759221*D14^2+24.0900756*D14-307.75076),3),ROUND(500*H14/(-0.0000010706*D14^4+0.0005158568*D14^3-0.1126655495*D14^2+13.6175032*D14-57.96288),3))</f>
        <v>504.254</v>
      </c>
    </row>
    <row r="15" customFormat="false" ht="15" hidden="false" customHeight="false" outlineLevel="0" collapsed="false">
      <c r="A15" s="1" t="s">
        <v>142</v>
      </c>
      <c r="B15" s="1" t="s">
        <v>63</v>
      </c>
      <c r="C15" s="1" t="s">
        <v>28</v>
      </c>
      <c r="D15" s="0" t="n">
        <v>46.1</v>
      </c>
      <c r="E15" s="0" t="n">
        <v>82.5</v>
      </c>
      <c r="F15" s="0" t="n">
        <v>52.5</v>
      </c>
      <c r="G15" s="0" t="n">
        <v>125.5</v>
      </c>
      <c r="H15" s="0" t="n">
        <f aca="false">IF(COUNT(E15:G15)=3,ROUND(SUM(E15:G15),3),"")</f>
        <v>260.5</v>
      </c>
      <c r="I15" s="0" t="n">
        <f aca="false">IF(B15="M",ROUND(500*H15/(-0.000001093*D15^4+0.0007391293*D15^3-0.1918759221*D15^2+24.0900756*D15-307.75076),3),ROUND(500*H15/(-0.0000010706*D15^4+0.0005158568*D15^3-0.1126655495*D15^2+13.6175032*D15-57.96288),3))</f>
        <v>346.345</v>
      </c>
    </row>
    <row r="16" customFormat="false" ht="15" hidden="false" customHeight="false" outlineLevel="0" collapsed="false">
      <c r="A16" s="1" t="s">
        <v>148</v>
      </c>
      <c r="B16" s="1" t="s">
        <v>63</v>
      </c>
      <c r="C16" s="1" t="s">
        <v>28</v>
      </c>
      <c r="D16" s="0" t="n">
        <v>74.2</v>
      </c>
      <c r="E16" s="0" t="n">
        <v>170</v>
      </c>
      <c r="F16" s="0" t="n">
        <v>85</v>
      </c>
      <c r="G16" s="0" t="n">
        <v>197.5</v>
      </c>
      <c r="H16" s="0" t="n">
        <f aca="false">IF(COUNT(E16:G16)=3,ROUND(SUM(E16:G16),3),"")</f>
        <v>452.5</v>
      </c>
      <c r="I16" s="0" t="n">
        <f aca="false">IF(B16="M",ROUND(500*H16/(-0.000001093*D16^4+0.0007391293*D16^3-0.1918759221*D16^2+24.0900756*D16-307.75076),3),ROUND(500*H16/(-0.0000010706*D16^4+0.0005158568*D16^3-0.1126655495*D16^2+13.6175032*D16-57.96288),3))</f>
        <v>443.241</v>
      </c>
    </row>
    <row r="17" customFormat="false" ht="15" hidden="false" customHeight="false" outlineLevel="0" collapsed="false">
      <c r="A17" s="1" t="s">
        <v>156</v>
      </c>
      <c r="B17" s="1" t="s">
        <v>26</v>
      </c>
      <c r="C17" s="1" t="s">
        <v>28</v>
      </c>
      <c r="D17" s="0" t="n">
        <v>92.8</v>
      </c>
      <c r="E17" s="0" t="n">
        <v>255</v>
      </c>
      <c r="F17" s="0" t="n">
        <v>182.5</v>
      </c>
      <c r="G17" s="0" t="n">
        <v>245</v>
      </c>
      <c r="H17" s="0" t="n">
        <f aca="false">IF(COUNT(E17:G17)=3,ROUND(SUM(E17:G17),3),"")</f>
        <v>682.5</v>
      </c>
      <c r="I17" s="0" t="n">
        <f aca="false">IF(B17="M",ROUND(500*H17/(-0.000001093*D17^4+0.0007391293*D17^3-0.1918759221*D17^2+24.0900756*D17-307.75076),3),ROUND(500*H17/(-0.0000010706*D17^4+0.0005158568*D17^3-0.1126655495*D17^2+13.6175032*D17-57.96288),3))</f>
        <v>434.692</v>
      </c>
    </row>
    <row r="18" customFormat="false" ht="15" hidden="false" customHeight="false" outlineLevel="0" collapsed="false">
      <c r="A18" s="1" t="s">
        <v>160</v>
      </c>
      <c r="B18" s="1" t="s">
        <v>63</v>
      </c>
      <c r="C18" s="1" t="s">
        <v>28</v>
      </c>
      <c r="D18" s="0" t="n">
        <v>61.8</v>
      </c>
      <c r="E18" s="0" t="n">
        <v>87.5</v>
      </c>
      <c r="F18" s="0" t="n">
        <v>57.5</v>
      </c>
      <c r="G18" s="0" t="n">
        <v>110</v>
      </c>
      <c r="H18" s="0" t="n">
        <f aca="false">IF(COUNT(E18:G18)=3,ROUND(SUM(E18:G18),3),"")</f>
        <v>255</v>
      </c>
      <c r="I18" s="0" t="n">
        <f aca="false">IF(B18="M",ROUND(500*H18/(-0.000001093*D18^4+0.0007391293*D18^3-0.1918759221*D18^2+24.0900756*D18-307.75076),3),ROUND(500*H18/(-0.0000010706*D18^4+0.0005158568*D18^3-0.1126655495*D18^2+13.6175032*D18-57.96288),3))</f>
        <v>277.51</v>
      </c>
    </row>
    <row r="19" customFormat="false" ht="15" hidden="false" customHeight="false" outlineLevel="0" collapsed="false">
      <c r="A19" s="1" t="s">
        <v>163</v>
      </c>
      <c r="B19" s="1" t="s">
        <v>63</v>
      </c>
      <c r="C19" s="1" t="s">
        <v>28</v>
      </c>
      <c r="D19" s="0" t="n">
        <v>71.1</v>
      </c>
      <c r="E19" s="0" t="n">
        <v>107.5</v>
      </c>
      <c r="F19" s="0" t="n">
        <v>65</v>
      </c>
      <c r="G19" s="0" t="n">
        <v>115</v>
      </c>
      <c r="H19" s="0" t="n">
        <f aca="false">IF(COUNT(E19:G19)=3,ROUND(SUM(E19:G19),3),"")</f>
        <v>287.5</v>
      </c>
      <c r="I19" s="0" t="n">
        <f aca="false">IF(B19="M",ROUND(500*H19/(-0.000001093*D19^4+0.0007391293*D19^3-0.1918759221*D19^2+24.0900756*D19-307.75076),3),ROUND(500*H19/(-0.0000010706*D19^4+0.0005158568*D19^3-0.1126655495*D19^2+13.6175032*D19-57.96288),3))</f>
        <v>288.223</v>
      </c>
    </row>
    <row r="20" customFormat="false" ht="15" hidden="false" customHeight="false" outlineLevel="0" collapsed="false">
      <c r="A20" s="1" t="s">
        <v>169</v>
      </c>
      <c r="B20" s="1" t="s">
        <v>26</v>
      </c>
      <c r="C20" s="1" t="s">
        <v>28</v>
      </c>
      <c r="D20" s="0" t="n">
        <v>80.2</v>
      </c>
      <c r="E20" s="0" t="n">
        <v>162.5</v>
      </c>
      <c r="F20" s="0" t="n">
        <v>102.5</v>
      </c>
      <c r="G20" s="0" t="n">
        <v>205</v>
      </c>
      <c r="H20" s="0" t="n">
        <f aca="false">IF(COUNT(E20:G20)=3,ROUND(SUM(E20:G20),3),"")</f>
        <v>470</v>
      </c>
      <c r="I20" s="0" t="n">
        <f aca="false">IF(B20="M",ROUND(500*H20/(-0.000001093*D20^4+0.0007391293*D20^3-0.1918759221*D20^2+24.0900756*D20-307.75076),3),ROUND(500*H20/(-0.0000010706*D20^4+0.0005158568*D20^3-0.1126655495*D20^2+13.6175032*D20-57.96288),3))</f>
        <v>323.611</v>
      </c>
    </row>
    <row r="21" customFormat="false" ht="15" hidden="false" customHeight="false" outlineLevel="0" collapsed="false">
      <c r="A21" s="1" t="s">
        <v>174</v>
      </c>
      <c r="B21" s="1" t="s">
        <v>26</v>
      </c>
      <c r="C21" s="1" t="s">
        <v>28</v>
      </c>
      <c r="D21" s="0" t="n">
        <v>108.98</v>
      </c>
      <c r="E21" s="0" t="n">
        <v>226.8</v>
      </c>
      <c r="F21" s="0" t="n">
        <v>165.56</v>
      </c>
      <c r="G21" s="0" t="n">
        <v>242.67</v>
      </c>
      <c r="H21" s="0" t="n">
        <f aca="false">IF(COUNT(E21:G21)=3,ROUND(SUM(E21:G21),3),"")</f>
        <v>635.03</v>
      </c>
      <c r="I21" s="0" t="n">
        <f aca="false">IF(B21="M",ROUND(500*H21/(-0.000001093*D21^4+0.0007391293*D21^3-0.1918759221*D21^2+24.0900756*D21-307.75076),3),ROUND(500*H21/(-0.0000010706*D21^4+0.0005158568*D21^3-0.1126655495*D21^2+13.6175032*D21-57.96288),3))</f>
        <v>377.437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zh-CN</dc:language>
  <cp:lastModifiedBy/>
  <dcterms:modified xsi:type="dcterms:W3CDTF">2026-08-23T14:11:58Z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